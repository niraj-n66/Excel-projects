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aebfea5ac3f65cab/CAREER247/Solved/Excel/"/>
    </mc:Choice>
  </mc:AlternateContent>
  <xr:revisionPtr revIDLastSave="128" documentId="13_ncr:1_{3C069ECC-27AB-48C8-875B-F80A7CD7F8CA}" xr6:coauthVersionLast="47" xr6:coauthVersionMax="47" xr10:uidLastSave="{1005CBF4-C522-4C37-97DE-AAFCA8629FDE}"/>
  <bookViews>
    <workbookView xWindow="-108" yWindow="-108" windowWidth="23256" windowHeight="12456" firstSheet="12" activeTab="17" xr2:uid="{00000000-000D-0000-FFFF-FFFF00000000}"/>
  </bookViews>
  <sheets>
    <sheet name="Orders" sheetId="3" r:id="rId1"/>
    <sheet name="Product Master" sheetId="4" r:id="rId2"/>
    <sheet name="Region Master" sheetId="5" r:id="rId3"/>
    <sheet name="Customer Master" sheetId="6" r:id="rId4"/>
    <sheet name="2.1" sheetId="8" r:id="rId5"/>
    <sheet name="2.2" sheetId="10" r:id="rId6"/>
    <sheet name="4.2" sheetId="12" r:id="rId7"/>
    <sheet name="2.3,2.4" sheetId="9" r:id="rId8"/>
    <sheet name="4.3.1" sheetId="13" r:id="rId9"/>
    <sheet name="4.1" sheetId="11" r:id="rId10"/>
    <sheet name="4.3.2" sheetId="14" r:id="rId11"/>
    <sheet name="4.3.3" sheetId="15" r:id="rId12"/>
    <sheet name="4.3.4" sheetId="31" r:id="rId13"/>
    <sheet name="Region" sheetId="35" r:id="rId14"/>
    <sheet name="Payment method" sheetId="24" r:id="rId15"/>
    <sheet name="Delivery status" sheetId="25" r:id="rId16"/>
    <sheet name="Sales by months" sheetId="27" r:id="rId17"/>
    <sheet name="DASHBOARD" sheetId="38" r:id="rId18"/>
    <sheet name="Brainstorming reflection" sheetId="40" r:id="rId19"/>
  </sheets>
  <definedNames>
    <definedName name="_xlnm._FilterDatabase" localSheetId="0" hidden="1">Orders!$A$1:$S$101</definedName>
    <definedName name="Slicer_Delivery_Status">#N/A</definedName>
    <definedName name="Slicer_Payment_Method">#N/A</definedName>
    <definedName name="Slicer_Region">#N/A</definedName>
  </definedNames>
  <calcPr calcId="191029"/>
  <pivotCaches>
    <pivotCache cacheId="0" r:id="rId20"/>
    <pivotCache cacheId="1" r:id="rId21"/>
    <pivotCache cacheId="2" r:id="rId22"/>
    <pivotCache cacheId="3" r:id="rId23"/>
  </pivotCaches>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7" i="35" l="1"/>
  <c r="C17" i="35"/>
  <c r="D16" i="35"/>
  <c r="C16" i="35"/>
  <c r="D15" i="35"/>
  <c r="C15" i="35"/>
  <c r="D14" i="35"/>
  <c r="C14" i="35"/>
  <c r="D13" i="35"/>
  <c r="C13" i="35"/>
  <c r="D9" i="35"/>
  <c r="D8" i="35"/>
  <c r="D7" i="35"/>
  <c r="D6" i="35"/>
  <c r="D5" i="35"/>
  <c r="D4" i="35"/>
  <c r="C5" i="35"/>
  <c r="C6" i="35"/>
  <c r="C7" i="35"/>
  <c r="C8" i="35"/>
  <c r="C9" i="35"/>
  <c r="C4" i="35"/>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2" i="3"/>
  <c r="E9" i="11"/>
  <c r="E8" i="11"/>
  <c r="E7" i="11"/>
  <c r="E6" i="11"/>
  <c r="F5" i="14"/>
  <c r="R5" i="3" a="1"/>
  <c r="R5" i="3" s="1"/>
  <c r="R6" i="3" a="1"/>
  <c r="R6" i="3" s="1"/>
  <c r="R9" i="3" a="1"/>
  <c r="R9" i="3" s="1"/>
  <c r="R11" i="3" a="1"/>
  <c r="R11" i="3" s="1"/>
  <c r="R12" i="3" a="1"/>
  <c r="R12" i="3" s="1"/>
  <c r="R13" i="3" a="1"/>
  <c r="R13" i="3" s="1"/>
  <c r="R14" i="3" a="1"/>
  <c r="R14" i="3" s="1"/>
  <c r="R17" i="3" a="1"/>
  <c r="R17" i="3" s="1"/>
  <c r="R21" i="3" a="1"/>
  <c r="R21" i="3"/>
  <c r="R33" i="3" a="1"/>
  <c r="R33" i="3" s="1"/>
  <c r="R37" i="3" a="1"/>
  <c r="R37" i="3" s="1"/>
  <c r="R38" i="3" a="1"/>
  <c r="R38" i="3" s="1"/>
  <c r="R45" i="3" a="1"/>
  <c r="R45" i="3" s="1"/>
  <c r="R46" i="3" a="1"/>
  <c r="R46" i="3" s="1"/>
  <c r="R49" i="3" a="1"/>
  <c r="R49" i="3" s="1"/>
  <c r="R57" i="3" a="1"/>
  <c r="R57" i="3" s="1"/>
  <c r="R58" i="3" a="1"/>
  <c r="R58" i="3" s="1"/>
  <c r="R59" i="3" a="1"/>
  <c r="R59" i="3" s="1"/>
  <c r="R61" i="3" a="1"/>
  <c r="R61" i="3" s="1"/>
  <c r="R65" i="3" a="1"/>
  <c r="R65" i="3" s="1"/>
  <c r="R66" i="3" a="1"/>
  <c r="R66" i="3" s="1"/>
  <c r="R69" i="3" a="1"/>
  <c r="R69" i="3" s="1"/>
  <c r="R71" i="3" a="1"/>
  <c r="R71" i="3" s="1"/>
  <c r="R73" i="3" a="1"/>
  <c r="R73" i="3" s="1"/>
  <c r="R81" i="3" a="1"/>
  <c r="R81" i="3" s="1"/>
  <c r="R83" i="3" a="1"/>
  <c r="R83" i="3" s="1"/>
  <c r="R85" i="3" a="1"/>
  <c r="R85" i="3" s="1"/>
  <c r="R86" i="3" a="1"/>
  <c r="R86" i="3"/>
  <c r="R89" i="3" a="1"/>
  <c r="R89" i="3" s="1"/>
  <c r="R90" i="3" a="1"/>
  <c r="R90" i="3" s="1"/>
  <c r="R93" i="3" a="1"/>
  <c r="R93" i="3" s="1"/>
  <c r="R95" i="3" a="1"/>
  <c r="R95" i="3" s="1"/>
  <c r="R96" i="3" a="1"/>
  <c r="R96" i="3" s="1"/>
  <c r="R97" i="3" a="1"/>
  <c r="R97" i="3" s="1"/>
  <c r="R99" i="3" a="1"/>
  <c r="R99" i="3" s="1"/>
  <c r="R100" i="3" a="1"/>
  <c r="R100" i="3" s="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R3" i="3" s="1" a="1"/>
  <c r="R3" i="3" s="1"/>
  <c r="P4" i="3"/>
  <c r="R4" i="3" s="1" a="1"/>
  <c r="R4" i="3" s="1"/>
  <c r="P5" i="3"/>
  <c r="P6" i="3"/>
  <c r="P7" i="3"/>
  <c r="R7" i="3" s="1" a="1"/>
  <c r="R7" i="3" s="1"/>
  <c r="P8" i="3"/>
  <c r="R8" i="3" s="1" a="1"/>
  <c r="R8" i="3" s="1"/>
  <c r="P9" i="3"/>
  <c r="P10" i="3"/>
  <c r="R10" i="3" s="1" a="1"/>
  <c r="R10" i="3" s="1"/>
  <c r="P11" i="3"/>
  <c r="P12" i="3"/>
  <c r="P13" i="3"/>
  <c r="P14" i="3"/>
  <c r="P15" i="3"/>
  <c r="R15" i="3" s="1" a="1"/>
  <c r="R15" i="3" s="1"/>
  <c r="P16" i="3"/>
  <c r="R16" i="3" s="1" a="1"/>
  <c r="R16" i="3" s="1"/>
  <c r="P17" i="3"/>
  <c r="P18" i="3"/>
  <c r="R18" i="3" s="1" a="1"/>
  <c r="R18" i="3" s="1"/>
  <c r="P19" i="3"/>
  <c r="R19" i="3" s="1" a="1"/>
  <c r="R19" i="3" s="1"/>
  <c r="P20" i="3"/>
  <c r="R20" i="3" s="1" a="1"/>
  <c r="R20" i="3" s="1"/>
  <c r="P21" i="3"/>
  <c r="P22" i="3"/>
  <c r="R22" i="3" s="1" a="1"/>
  <c r="R22" i="3" s="1"/>
  <c r="P23" i="3"/>
  <c r="R23" i="3" s="1" a="1"/>
  <c r="R23" i="3" s="1"/>
  <c r="P24" i="3"/>
  <c r="R24" i="3" s="1" a="1"/>
  <c r="R24" i="3" s="1"/>
  <c r="P25" i="3"/>
  <c r="R25" i="3" s="1" a="1"/>
  <c r="R25" i="3" s="1"/>
  <c r="P26" i="3"/>
  <c r="R26" i="3" s="1" a="1"/>
  <c r="R26" i="3" s="1"/>
  <c r="P27" i="3"/>
  <c r="R27" i="3" s="1" a="1"/>
  <c r="R27" i="3" s="1"/>
  <c r="P28" i="3"/>
  <c r="R28" i="3" s="1" a="1"/>
  <c r="R28" i="3" s="1"/>
  <c r="P29" i="3"/>
  <c r="R29" i="3" s="1" a="1"/>
  <c r="R29" i="3" s="1"/>
  <c r="P30" i="3"/>
  <c r="R30" i="3" s="1" a="1"/>
  <c r="R30" i="3" s="1"/>
  <c r="P31" i="3"/>
  <c r="R31" i="3" s="1" a="1"/>
  <c r="R31" i="3" s="1"/>
  <c r="P32" i="3"/>
  <c r="R32" i="3" s="1" a="1"/>
  <c r="R32" i="3" s="1"/>
  <c r="P33" i="3"/>
  <c r="P34" i="3"/>
  <c r="R34" i="3" s="1" a="1"/>
  <c r="R34" i="3" s="1"/>
  <c r="P35" i="3"/>
  <c r="R35" i="3" s="1" a="1"/>
  <c r="R35" i="3" s="1"/>
  <c r="P36" i="3"/>
  <c r="R36" i="3" s="1" a="1"/>
  <c r="R36" i="3" s="1"/>
  <c r="P37" i="3"/>
  <c r="P38" i="3"/>
  <c r="P39" i="3"/>
  <c r="R39" i="3" s="1" a="1"/>
  <c r="R39" i="3" s="1"/>
  <c r="P40" i="3"/>
  <c r="R40" i="3" s="1" a="1"/>
  <c r="R40" i="3" s="1"/>
  <c r="P41" i="3"/>
  <c r="R41" i="3" s="1" a="1"/>
  <c r="R41" i="3" s="1"/>
  <c r="P42" i="3"/>
  <c r="R42" i="3" s="1" a="1"/>
  <c r="R42" i="3" s="1"/>
  <c r="P43" i="3"/>
  <c r="R43" i="3" s="1" a="1"/>
  <c r="R43" i="3" s="1"/>
  <c r="P44" i="3"/>
  <c r="R44" i="3" s="1" a="1"/>
  <c r="R44" i="3" s="1"/>
  <c r="P45" i="3"/>
  <c r="P46" i="3"/>
  <c r="P47" i="3"/>
  <c r="R47" i="3" s="1" a="1"/>
  <c r="R47" i="3" s="1"/>
  <c r="P48" i="3"/>
  <c r="R48" i="3" s="1" a="1"/>
  <c r="R48" i="3" s="1"/>
  <c r="P49" i="3"/>
  <c r="P50" i="3"/>
  <c r="R50" i="3" s="1" a="1"/>
  <c r="R50" i="3" s="1"/>
  <c r="P51" i="3"/>
  <c r="R51" i="3" s="1" a="1"/>
  <c r="R51" i="3" s="1"/>
  <c r="P52" i="3"/>
  <c r="R52" i="3" s="1" a="1"/>
  <c r="R52" i="3" s="1"/>
  <c r="P53" i="3"/>
  <c r="R53" i="3" s="1" a="1"/>
  <c r="R53" i="3" s="1"/>
  <c r="P54" i="3"/>
  <c r="R54" i="3" s="1" a="1"/>
  <c r="R54" i="3" s="1"/>
  <c r="P55" i="3"/>
  <c r="R55" i="3" s="1" a="1"/>
  <c r="R55" i="3" s="1"/>
  <c r="P56" i="3"/>
  <c r="R56" i="3" s="1" a="1"/>
  <c r="R56" i="3" s="1"/>
  <c r="P57" i="3"/>
  <c r="P58" i="3"/>
  <c r="P59" i="3"/>
  <c r="P60" i="3"/>
  <c r="R60" i="3" s="1" a="1"/>
  <c r="R60" i="3" s="1"/>
  <c r="P61" i="3"/>
  <c r="P62" i="3"/>
  <c r="R62" i="3" s="1" a="1"/>
  <c r="R62" i="3" s="1"/>
  <c r="P63" i="3"/>
  <c r="R63" i="3" s="1" a="1"/>
  <c r="R63" i="3" s="1"/>
  <c r="P64" i="3"/>
  <c r="R64" i="3" s="1" a="1"/>
  <c r="R64" i="3" s="1"/>
  <c r="P65" i="3"/>
  <c r="P66" i="3"/>
  <c r="P67" i="3"/>
  <c r="R67" i="3" s="1" a="1"/>
  <c r="R67" i="3" s="1"/>
  <c r="P68" i="3"/>
  <c r="R68" i="3" s="1" a="1"/>
  <c r="R68" i="3" s="1"/>
  <c r="P69" i="3"/>
  <c r="P70" i="3"/>
  <c r="R70" i="3" s="1" a="1"/>
  <c r="R70" i="3" s="1"/>
  <c r="P71" i="3"/>
  <c r="P72" i="3"/>
  <c r="R72" i="3" s="1" a="1"/>
  <c r="R72" i="3" s="1"/>
  <c r="P73" i="3"/>
  <c r="P74" i="3"/>
  <c r="R74" i="3" s="1" a="1"/>
  <c r="R74" i="3" s="1"/>
  <c r="P75" i="3"/>
  <c r="R75" i="3" s="1" a="1"/>
  <c r="R75" i="3" s="1"/>
  <c r="P76" i="3"/>
  <c r="R76" i="3" s="1" a="1"/>
  <c r="R76" i="3" s="1"/>
  <c r="P77" i="3"/>
  <c r="R77" i="3" s="1" a="1"/>
  <c r="R77" i="3" s="1"/>
  <c r="P78" i="3"/>
  <c r="R78" i="3" s="1" a="1"/>
  <c r="R78" i="3" s="1"/>
  <c r="P79" i="3"/>
  <c r="R79" i="3" s="1" a="1"/>
  <c r="R79" i="3" s="1"/>
  <c r="P80" i="3"/>
  <c r="R80" i="3" s="1" a="1"/>
  <c r="R80" i="3" s="1"/>
  <c r="P81" i="3"/>
  <c r="P82" i="3"/>
  <c r="R82" i="3" s="1" a="1"/>
  <c r="R82" i="3" s="1"/>
  <c r="P83" i="3"/>
  <c r="P84" i="3"/>
  <c r="R84" i="3" s="1" a="1"/>
  <c r="R84" i="3" s="1"/>
  <c r="P85" i="3"/>
  <c r="P86" i="3"/>
  <c r="P87" i="3"/>
  <c r="R87" i="3" s="1" a="1"/>
  <c r="R87" i="3" s="1"/>
  <c r="P88" i="3"/>
  <c r="R88" i="3" s="1" a="1"/>
  <c r="R88" i="3" s="1"/>
  <c r="P89" i="3"/>
  <c r="P90" i="3"/>
  <c r="P91" i="3"/>
  <c r="R91" i="3" s="1" a="1"/>
  <c r="R91" i="3" s="1"/>
  <c r="P92" i="3"/>
  <c r="R92" i="3" s="1" a="1"/>
  <c r="R92" i="3" s="1"/>
  <c r="P93" i="3"/>
  <c r="P94" i="3"/>
  <c r="R94" i="3" s="1" a="1"/>
  <c r="R94" i="3" s="1"/>
  <c r="P95" i="3"/>
  <c r="P96" i="3"/>
  <c r="P97" i="3"/>
  <c r="P98" i="3"/>
  <c r="R98" i="3" s="1" a="1"/>
  <c r="R98" i="3" s="1"/>
  <c r="P99" i="3"/>
  <c r="P100" i="3"/>
  <c r="P101" i="3"/>
  <c r="R101" i="3" s="1" a="1"/>
  <c r="R101" i="3" s="1"/>
  <c r="P2" i="3"/>
  <c r="R2" i="3" s="1" a="1"/>
  <c r="R2" i="3" s="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 r="E5"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<sst xmlns="http://schemas.openxmlformats.org/spreadsheetml/2006/main" count="1194" uniqueCount="357">
  <si>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</si>
  <si>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</si>
  <si>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</si>
  <si>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</si>
  <si>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</si>
  <si>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</si>
  <si>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</si>
  <si>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</si>
  <si>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</si>
  <si>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</si>
  <si>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</si>
  <si>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</si>
  <si>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</si>
  <si>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</si>
  <si>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</si>
  <si>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</si>
  <si>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</si>
  <si>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</si>
  <si>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</si>
  <si>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</si>
  <si>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</si>
  <si>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</si>
  <si>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</si>
  <si>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</si>
  <si>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</si>
  <si>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</si>
  <si>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</si>
  <si>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</si>
  <si>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</si>
  <si>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</si>
  <si>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</si>
  <si>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</si>
  <si>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</si>
  <si>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</si>
  <si>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</si>
  <si>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</si>
  <si>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</si>
  <si>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</si>
  <si>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</si>
  <si>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</si>
  <si>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</si>
  <si>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</si>
  <si>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</si>
  <si>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</si>
  <si>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</si>
  <si>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</si>
  <si>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</si>
  <si>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</si>
  <si>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</si>
  <si>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</si>
  <si>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</si>
  <si>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</si>
  <si>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</si>
  <si>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</si>
  <si>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</si>
  <si>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</si>
  <si>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</si>
  <si>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</si>
  <si>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</si>
  <si>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</si>
  <si>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</si>
  <si>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</si>
  <si>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</si>
  <si>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</si>
  <si>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</si>
  <si>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</si>
  <si>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</si>
  <si>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</si>
  <si>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</si>
  <si>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</si>
  <si>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</si>
  <si>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</si>
  <si>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</si>
  <si>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</si>
  <si>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</si>
  <si>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</si>
  <si>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</si>
  <si>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</si>
  <si>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</si>
  <si>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</si>
  <si>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</si>
  <si>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</si>
  <si>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</si>
  <si>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</si>
  <si>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</si>
  <si>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</si>
  <si>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</si>
  <si>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</si>
  <si>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</si>
  <si>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</si>
  <si>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</si>
  <si>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</si>
  <si>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</si>
  <si>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</si>
  <si>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</si>
  <si>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</si>
  <si>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</si>
  <si>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</si>
  <si>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</si>
  <si>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</si>
  <si>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</si>
  <si>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</si>
  <si>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</si>
  <si>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</si>
  <si>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</si>
  <si>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</si>
  <si>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</si>
  <si>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</si>
  <si>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</si>
  <si>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</si>
  <si>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</si>
  <si>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</si>
  <si>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</si>
  <si>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</si>
  <si>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</si>
  <si>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</si>
  <si>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</si>
  <si>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</si>
  <si>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</si>
  <si>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</si>
  <si>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</si>
  <si>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</si>
  <si>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</si>
  <si>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</si>
  <si>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</si>
  <si>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</si>
  <si>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</si>
  <si>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</si>
  <si>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</si>
  <si>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</si>
  <si>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</si>
  <si>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</si>
  <si>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</si>
  <si>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</si>
  <si>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</si>
  <si>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</si>
  <si>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</si>
  <si>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</si>
  <si>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</si>
  <si>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</si>
  <si>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</si>
  <si>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</si>
  <si>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</si>
  <si>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</si>
  <si>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</si>
  <si>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</si>
  <si>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</si>
  <si>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</si>
  <si>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</si>
  <si>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</si>
  <si>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</si>
  <si>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</si>
  <si>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</si>
  <si>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</si>
  <si>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</si>
  <si>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</si>
  <si>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</si>
  <si>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</si>
  <si>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</si>
  <si>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</si>
  <si>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</si>
  <si>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</si>
  <si>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</si>
  <si>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</si>
  <si>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</si>
  <si>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</si>
  <si>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</si>
  <si>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</si>
  <si>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</si>
  <si>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</si>
  <si>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</si>
  <si>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</si>
  <si>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</si>
  <si>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</si>
  <si>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</si>
  <si>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</si>
  <si>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</si>
  <si>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</si>
  <si>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</si>
  <si>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</si>
  <si>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</si>
  <si>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</si>
  <si>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</si>
  <si>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</si>
  <si>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</si>
  <si>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</si>
  <si>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</si>
  <si>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</si>
  <si>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</si>
  <si>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</si>
  <si>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</si>
  <si>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</si>
  <si>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</si>
  <si>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</si>
  <si>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</si>
  <si>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</si>
  <si>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</si>
  <si>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</si>
  <si>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</si>
  <si>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</si>
  <si>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</si>
  <si>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</si>
  <si>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</si>
  <si>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</si>
  <si>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</si>
  <si>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</si>
  <si>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</si>
  <si>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</si>
  <si>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</si>
  <si>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</si>
  <si>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</si>
  <si>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</si>
  <si>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</si>
  <si>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</si>
  <si>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</si>
  <si>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</si>
  <si>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</si>
  <si>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</si>
  <si>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</si>
  <si>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</si>
  <si>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</si>
  <si>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</si>
  <si>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</si>
  <si>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</si>
  <si>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</si>
  <si>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</si>
  <si>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</si>
  <si>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</si>
  <si>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</si>
  <si>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</si>
  <si>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</si>
  <si>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</si>
  <si>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</si>
  <si>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</si>
  <si>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</si>
  <si>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</si>
  <si>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</si>
  <si>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</si>
  <si>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</si>
  <si>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</si>
  <si>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</si>
  <si>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</si>
  <si>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</si>
  <si>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</si>
  <si>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</si>
  <si>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</si>
  <si>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</si>
  <si>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</si>
  <si>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</si>
  <si>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</si>
  <si>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</si>
  <si>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</si>
  <si>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</si>
  <si>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</si>
  <si>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</si>
  <si>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</si>
  <si>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</si>
  <si>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</si>
  <si>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</si>
  <si>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</si>
  <si>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</si>
  <si>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</si>
  <si>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</si>
  <si>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</si>
  <si>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</si>
  <si>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</si>
  <si>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</si>
  <si>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</si>
  <si>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</si>
  <si>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</si>
  <si>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</si>
  <si>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</si>
  <si>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</si>
  <si>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</si>
  <si>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</si>
  <si>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</si>
  <si>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</si>
  <si>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</si>
  <si>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</si>
  <si>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</si>
  <si>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</si>
  <si>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</si>
  <si>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</si>
  <si>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</si>
  <si>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</si>
  <si>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</si>
  <si>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</si>
  <si>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</si>
  <si>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</si>
  <si>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</si>
  <si>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</si>
  <si>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</si>
  <si>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</si>
  <si>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</si>
  <si>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</si>
  <si>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</si>
  <si>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</si>
  <si>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</si>
  <si>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</si>
  <si>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</si>
  <si>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</si>
  <si>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</si>
  <si>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</si>
  <si>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</si>
  <si>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</si>
  <si>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</si>
  <si>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</si>
  <si>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</si>
  <si>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</si>
  <si>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</si>
  <si>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</si>
  <si>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Is cancelled</t>
  </si>
  <si>
    <t>Sum of Total Amount</t>
  </si>
  <si>
    <t>Row Labels</t>
  </si>
  <si>
    <t>Grand Total</t>
  </si>
  <si>
    <t>Column Labels</t>
  </si>
  <si>
    <t>Product category</t>
  </si>
  <si>
    <t>Avg. delivery date</t>
  </si>
  <si>
    <t>Average of Avg. delivery date</t>
  </si>
  <si>
    <t>(All)</t>
  </si>
  <si>
    <t>Count of Order ID</t>
  </si>
  <si>
    <t>customer name</t>
  </si>
  <si>
    <t>Delivery performance</t>
  </si>
  <si>
    <t>No</t>
  </si>
  <si>
    <t>Yes</t>
  </si>
  <si>
    <t>FAST</t>
  </si>
  <si>
    <t>NA</t>
  </si>
  <si>
    <t>SLOW</t>
  </si>
  <si>
    <t>% of fast deliveries</t>
  </si>
  <si>
    <t>Product name</t>
  </si>
  <si>
    <t>Jan</t>
  </si>
  <si>
    <t>Feb</t>
  </si>
  <si>
    <t>May</t>
  </si>
  <si>
    <t>Jun</t>
  </si>
  <si>
    <t>Aug</t>
  </si>
  <si>
    <t>Sep</t>
  </si>
  <si>
    <t>Oct</t>
  </si>
  <si>
    <t>Nov</t>
  </si>
  <si>
    <t>Dec</t>
  </si>
  <si>
    <t>Count of Total Amount</t>
  </si>
  <si>
    <t>Mar</t>
  </si>
  <si>
    <t>Apr</t>
  </si>
  <si>
    <t>Jul</t>
  </si>
  <si>
    <t>SALES DASHBOARD</t>
  </si>
  <si>
    <t>HIGH</t>
  </si>
  <si>
    <t>LOW</t>
  </si>
  <si>
    <t>Brainstorming Reflection</t>
  </si>
  <si>
    <t>● 	What is the most successful product category in terms of revenue?</t>
  </si>
  <si>
    <t>Ans.   Electronics</t>
  </si>
  <si>
    <t>● 	Which region has the highest order cancellation rate?</t>
  </si>
  <si>
    <t>Ans. North</t>
  </si>
  <si>
    <t>●	 How many orders were delivered within 2 days?</t>
  </si>
  <si>
    <t>Ans. 11</t>
  </si>
  <si>
    <t>●	  How has the use of XLOOKUP simplified cross-sheet analysis?</t>
  </si>
  <si>
    <t>Ans. By using xlookup I can bring multiple datas from other data sheets to the sheet I am using.</t>
  </si>
  <si>
    <t>●	  What recommendations would you give to improve delivery performance?</t>
  </si>
  <si>
    <t xml:space="preserve">Ans.  1) As the data suggests most of the orders are in transit so we have to investigate the reason behind the orders which are in transit. (2) We have to pick the delivery partners which have performed better in each regions.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</si>
</sst>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theme="4" tint="-0.249977111117893"/>
      <name val="Calibri"/>
      <family val="2"/>
      <scheme val="minor"/>
    </font>
    <font>
      <b/>
      <sz val="24"/>
      <color theme="0"/>
      <name val="Calibri"/>
      <family val="2"/>
      <scheme val="minor"/>
    </font>
    <font>
      <sz val="24"/>
      <color theme="1"/>
      <name val="Calibri"/>
      <family val="2"/>
      <scheme val="minor"/>
    </font>
    <font>
      <sz val="11"/>
      <color theme="8" tint="0.39997558519241921"/>
      <name val="Calibri"/>
      <family val="2"/>
      <scheme val="minor"/>
    </font>
    <font>
      <b/>
      <sz val="20"/>
      <color theme="1"/>
      <name val="Calibri"/>
      <family val="2"/>
      <scheme val="minor"/>
    </font>
    <font>
      <sz val="11"/>
      <color theme="8" tint="0.39997558519241921"/>
      <name val="Aharoni"/>
      <charset val="177"/>
    </font>
  </fonts>
  <fills count="10">
    <fill>
      <patternFill patternType="none"/>
    </fill>
    <fill>
      <patternFill patternType="gray125"/>
    </fill>
    <fill>
      <patternFill patternType="solid">
        <fgColor theme="4"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3" tint="-0.249977111117893"/>
        <bgColor indexed="64"/>
      </patternFill>
    </fill>
    <fill>
      <patternFill patternType="solid">
        <fgColor theme="8" tint="0.39997558519241921"/>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0" fillId="0" borderId="0" xfId="0" applyAlignment="1"/>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2" borderId="0" xfId="0" applyFill="1"/>
    <xf numFmtId="0" fontId="0" fillId="2" borderId="0" xfId="0" applyFill="1" applyAlignment="1">
      <alignment horizontal="left"/>
    </xf>
    <xf numFmtId="0" fontId="0" fillId="2" borderId="0" xfId="0" applyNumberFormat="1" applyFill="1"/>
    <xf numFmtId="1" fontId="0" fillId="2" borderId="0" xfId="0" applyNumberFormat="1" applyFill="1"/>
    <xf numFmtId="164" fontId="0" fillId="2" borderId="0" xfId="0" applyNumberFormat="1" applyFill="1"/>
    <xf numFmtId="14" fontId="0" fillId="0" borderId="2" xfId="0" applyNumberFormat="1" applyFill="1" applyBorder="1"/>
    <xf numFmtId="0" fontId="0" fillId="0" borderId="0" xfId="0" applyNumberFormat="1"/>
    <xf numFmtId="0" fontId="0" fillId="3" borderId="0" xfId="0" applyFill="1"/>
    <xf numFmtId="0" fontId="0" fillId="4" borderId="0" xfId="0" applyFill="1"/>
    <xf numFmtId="0" fontId="4" fillId="4" borderId="0" xfId="0" applyFont="1" applyFill="1"/>
    <xf numFmtId="10" fontId="0" fillId="3" borderId="0" xfId="1" applyNumberFormat="1" applyFont="1" applyFill="1"/>
    <xf numFmtId="0" fontId="0" fillId="5" borderId="0" xfId="0" applyFill="1"/>
    <xf numFmtId="0" fontId="6" fillId="5" borderId="0" xfId="0" applyFont="1" applyFill="1"/>
    <xf numFmtId="0" fontId="5" fillId="5" borderId="0" xfId="0" applyFont="1" applyFill="1"/>
    <xf numFmtId="0" fontId="7" fillId="6" borderId="0" xfId="0" applyFont="1" applyFill="1"/>
    <xf numFmtId="0" fontId="7" fillId="6" borderId="0" xfId="0" applyNumberFormat="1" applyFont="1" applyFill="1"/>
    <xf numFmtId="0" fontId="0" fillId="7" borderId="1" xfId="0" applyFill="1" applyBorder="1"/>
    <xf numFmtId="0" fontId="0" fillId="8" borderId="0" xfId="0" applyFill="1" applyAlignment="1">
      <alignment horizontal="left"/>
    </xf>
    <xf numFmtId="0" fontId="0" fillId="8" borderId="0" xfId="0" applyNumberFormat="1" applyFill="1"/>
    <xf numFmtId="0" fontId="0" fillId="8" borderId="0" xfId="0" applyFill="1"/>
    <xf numFmtId="0" fontId="0" fillId="9" borderId="0" xfId="0" applyFill="1"/>
    <xf numFmtId="9" fontId="0" fillId="8" borderId="0" xfId="1" applyFont="1" applyFill="1"/>
    <xf numFmtId="0" fontId="0" fillId="8" borderId="1" xfId="0" applyFill="1" applyBorder="1"/>
    <xf numFmtId="0" fontId="8" fillId="8" borderId="0" xfId="0" applyFont="1" applyFill="1"/>
    <xf numFmtId="0" fontId="9" fillId="6" borderId="0" xfId="0" applyFont="1" applyFill="1"/>
  </cellXfs>
  <cellStyles count="2">
    <cellStyle name="Normal" xfId="0" builtinId="0"/>
    <cellStyle name="Percent" xfId="1" builtinId="5"/>
  </cellStyles>
  <dxfs count="965">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3" tint="0.3999450666829432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4" tint="0.59999389629810485"/>
        </patternFill>
      </fill>
    </dxf>
    <dxf>
      <fill>
        <patternFill>
          <bgColor theme="4" tint="0.59999389629810485"/>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64" formatCode="0.0000"/>
    </dxf>
    <dxf>
      <numFmt numFmtId="1" formatCode="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698"/>
          <c:y val="0.16912037037037039"/>
          <c:w val="0.86486351706036746"/>
          <c:h val="0.70959135316418775"/>
        </c:manualLayout>
      </c:layout>
      <c:bar3DChart>
        <c:barDir val="col"/>
        <c:grouping val="clustered"/>
        <c:varyColors val="0"/>
        <c:ser>
          <c:idx val="1"/>
          <c:order val="1"/>
          <c:tx>
            <c:v>high</c:v>
          </c:tx>
          <c:spPr>
            <a:solidFill>
              <a:schemeClr val="tx1"/>
            </a:solidFill>
            <a:ln>
              <a:noFill/>
            </a:ln>
            <a:effectLst>
              <a:outerShdw blurRad="57150" dist="19050" dir="5400000" algn="ctr" rotWithShape="0">
                <a:srgbClr val="000000">
                  <a:alpha val="63000"/>
                </a:srgbClr>
              </a:outerShdw>
            </a:effectLst>
            <a:sp3d/>
          </c:spPr>
          <c:invertIfNegative val="0"/>
          <c:cat>
            <c:strRef>
              <c:f>Region!$A$4:$A$8</c:f>
              <c:strCache>
                <c:ptCount val="5"/>
                <c:pt idx="0">
                  <c:v>Central</c:v>
                </c:pt>
                <c:pt idx="1">
                  <c:v>East</c:v>
                </c:pt>
                <c:pt idx="2">
                  <c:v>North</c:v>
                </c:pt>
                <c:pt idx="3">
                  <c:v>South</c:v>
                </c:pt>
                <c:pt idx="4">
                  <c:v>West</c:v>
                </c:pt>
              </c:strCache>
            </c:strRef>
          </c:cat>
          <c:val>
            <c:numRef>
              <c:f>Region!$C$4:$C$8</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1-0A46-40FC-BCB6-AAE83A162A9D}"/>
            </c:ext>
          </c:extLst>
        </c:ser>
        <c:ser>
          <c:idx val="2"/>
          <c:order val="2"/>
          <c:tx>
            <c:v>low</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Region!$A$4:$A$8</c:f>
              <c:strCache>
                <c:ptCount val="5"/>
                <c:pt idx="0">
                  <c:v>Central</c:v>
                </c:pt>
                <c:pt idx="1">
                  <c:v>East</c:v>
                </c:pt>
                <c:pt idx="2">
                  <c:v>North</c:v>
                </c:pt>
                <c:pt idx="3">
                  <c:v>South</c:v>
                </c:pt>
                <c:pt idx="4">
                  <c:v>West</c:v>
                </c:pt>
              </c:strCache>
            </c:strRef>
          </c:cat>
          <c:val>
            <c:numRef>
              <c:f>Region!$D$3:$D$9</c:f>
              <c:numCache>
                <c:formatCode>General</c:formatCode>
                <c:ptCount val="7"/>
                <c:pt idx="0">
                  <c:v>0</c:v>
                </c:pt>
                <c:pt idx="1">
                  <c:v>5456</c:v>
                </c:pt>
                <c:pt idx="2">
                  <c:v>3635</c:v>
                </c:pt>
                <c:pt idx="3">
                  <c:v>#N/A</c:v>
                </c:pt>
                <c:pt idx="4">
                  <c:v>#N/A</c:v>
                </c:pt>
                <c:pt idx="5">
                  <c:v>#N/A</c:v>
                </c:pt>
                <c:pt idx="6">
                  <c:v>#N/A</c:v>
                </c:pt>
              </c:numCache>
            </c:numRef>
          </c:val>
          <c:extLst>
            <c:ext xmlns:c16="http://schemas.microsoft.com/office/drawing/2014/chart" uri="{C3380CC4-5D6E-409C-BE32-E72D297353CC}">
              <c16:uniqueId val="{00000002-0A46-40FC-BCB6-AAE83A162A9D}"/>
            </c:ext>
          </c:extLst>
        </c:ser>
        <c:dLbls>
          <c:showLegendKey val="0"/>
          <c:showVal val="0"/>
          <c:showCatName val="0"/>
          <c:showSerName val="0"/>
          <c:showPercent val="0"/>
          <c:showBubbleSize val="0"/>
        </c:dLbls>
        <c:gapWidth val="150"/>
        <c:shape val="box"/>
        <c:axId val="1526406848"/>
        <c:axId val="1907543456"/>
        <c:axId val="0"/>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uri="{02D57815-91ED-43cb-92C2-25804820EDAC}">
                        <c15:formulaRef>
                          <c15:sqref>Region!$A$4:$A$8</c15:sqref>
                        </c15:formulaRef>
                      </c:ext>
                    </c:extLst>
                    <c:strCache>
                      <c:ptCount val="5"/>
                      <c:pt idx="0">
                        <c:v>Central</c:v>
                      </c:pt>
                      <c:pt idx="1">
                        <c:v>East</c:v>
                      </c:pt>
                      <c:pt idx="2">
                        <c:v>North</c:v>
                      </c:pt>
                      <c:pt idx="3">
                        <c:v>South</c:v>
                      </c:pt>
                      <c:pt idx="4">
                        <c:v>West</c:v>
                      </c:pt>
                    </c:strCache>
                  </c:strRef>
                </c:cat>
                <c:val>
                  <c:numRef>
                    <c:extLst>
                      <c:ext uri="{02D57815-91ED-43cb-92C2-25804820EDAC}">
                        <c15:formulaRef>
                          <c15:sqref>Region!$B$13:$B$17</c15:sqref>
                        </c15:formulaRef>
                      </c:ext>
                    </c:extLst>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0A46-40FC-BCB6-AAE83A162A9D}"/>
                  </c:ext>
                </c:extLst>
              </c15:ser>
            </c15:filteredBarSeries>
          </c:ext>
        </c:extLst>
      </c:bar3DChart>
      <c:catAx>
        <c:axId val="1526406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543456"/>
        <c:crosses val="autoZero"/>
        <c:auto val="1"/>
        <c:lblAlgn val="ctr"/>
        <c:lblOffset val="100"/>
        <c:noMultiLvlLbl val="0"/>
      </c:catAx>
      <c:valAx>
        <c:axId val="190754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640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 project Week 3 Dataset.xlsx]Payment method!PivotTable2</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different payment methods</a:t>
            </a:r>
          </a:p>
        </c:rich>
      </c:tx>
      <c:layout>
        <c:manualLayout>
          <c:xMode val="edge"/>
          <c:yMode val="edge"/>
          <c:x val="0.16478885601083304"/>
          <c:y val="4.30663221360895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method'!$B$3</c:f>
              <c:strCache>
                <c:ptCount val="1"/>
                <c:pt idx="0">
                  <c:v>Total</c:v>
                </c:pt>
              </c:strCache>
            </c:strRef>
          </c:tx>
          <c:spPr>
            <a:solidFill>
              <a:schemeClr val="tx1">
                <a:lumMod val="85000"/>
                <a:lumOff val="15000"/>
              </a:schemeClr>
            </a:solidFill>
            <a:ln>
              <a:noFill/>
            </a:ln>
            <a:effectLst>
              <a:outerShdw blurRad="57150" dist="19050" dir="5400000" algn="ctr" rotWithShape="0">
                <a:srgbClr val="000000">
                  <a:alpha val="63000"/>
                </a:srgbClr>
              </a:outerShdw>
            </a:effectLst>
          </c:spPr>
          <c:invertIfNegative val="0"/>
          <c:cat>
            <c:strRef>
              <c:f>'Payment method'!$A$4:$A$9</c:f>
              <c:strCache>
                <c:ptCount val="5"/>
                <c:pt idx="0">
                  <c:v>Amazon Pay</c:v>
                </c:pt>
                <c:pt idx="1">
                  <c:v>Apple Pay</c:v>
                </c:pt>
                <c:pt idx="2">
                  <c:v>Credit Card</c:v>
                </c:pt>
                <c:pt idx="3">
                  <c:v>Debit Card</c:v>
                </c:pt>
                <c:pt idx="4">
                  <c:v>PayPal</c:v>
                </c:pt>
              </c:strCache>
            </c:strRef>
          </c:cat>
          <c:val>
            <c:numRef>
              <c:f>'Payment method'!$B$4:$B$9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8E90-4AFB-AA7E-069FF05EA9F6}"/>
            </c:ext>
          </c:extLst>
        </c:ser>
        <c:dLbls>
          <c:showLegendKey val="0"/>
          <c:showVal val="0"/>
          <c:showCatName val="0"/>
          <c:showSerName val="0"/>
          <c:showPercent val="0"/>
          <c:showBubbleSize val="0"/>
        </c:dLbls>
        <c:gapWidth val="150"/>
        <c:axId val="273284751"/>
        <c:axId val="273285711"/>
      </c:barChart>
      <c:catAx>
        <c:axId val="2732847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73285711"/>
        <c:crosses val="autoZero"/>
        <c:auto val="1"/>
        <c:lblAlgn val="ctr"/>
        <c:lblOffset val="100"/>
        <c:noMultiLvlLbl val="0"/>
      </c:catAx>
      <c:valAx>
        <c:axId val="27328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28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 project Week 3 Dataset.xlsx]Delivery status!PivotTable3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Delivery</a:t>
            </a:r>
            <a:r>
              <a:rPr lang="en-US" baseline="0"/>
              <a: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'Delivery status'!$B$3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342-4EB7-85B1-ED1AE520A01B}"/>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342-4EB7-85B1-ED1AE520A01B}"/>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342-4EB7-85B1-ED1AE520A0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status'!$A$4:$A$7</c:f>
              <c:strCache>
                <c:ptCount val="3"/>
                <c:pt idx="0">
                  <c:v>Cancelled</c:v>
                </c:pt>
                <c:pt idx="1">
                  <c:v>Delivered</c:v>
                </c:pt>
                <c:pt idx="2">
                  <c:v>In Transit</c:v>
                </c:pt>
              </c:strCache>
            </c:strRef>
          </c:cat>
          <c:val>
            <c:numRef>
              <c:f>'Delivery status'!$B$4:$B$7</c:f>
              <c:numCache>
                <c:formatCode>General</c:formatCode>
                <c:ptCount val="3"/>
                <c:pt idx="0">
                  <c:v>6961</c:v>
                </c:pt>
                <c:pt idx="1">
                  <c:v>13656</c:v>
                </c:pt>
                <c:pt idx="2">
                  <c:v>14641</c:v>
                </c:pt>
              </c:numCache>
            </c:numRef>
          </c:val>
          <c:extLst>
            <c:ext xmlns:c16="http://schemas.microsoft.com/office/drawing/2014/chart" uri="{C3380CC4-5D6E-409C-BE32-E72D297353CC}">
              <c16:uniqueId val="{00000000-7342-4EB7-85B1-ED1AE520A01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 project Week 3 Dataset.xlsx]Sales by months!PivotTable5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latin typeface="ADLaM Display" panose="020F0502020204030204" pitchFamily="2" charset="0"/>
                <a:ea typeface="ADLaM Display" panose="020F0502020204030204" pitchFamily="2" charset="0"/>
                <a:cs typeface="ADLaM Display" panose="020F0502020204030204" pitchFamily="2" charset="0"/>
              </a:rPr>
              <a:t>SALES</a:t>
            </a:r>
            <a:r>
              <a:rPr lang="en-US" b="1" baseline="0">
                <a:solidFill>
                  <a:schemeClr val="tx1">
                    <a:lumMod val="95000"/>
                    <a:lumOff val="5000"/>
                  </a:schemeClr>
                </a:solidFill>
                <a:latin typeface="ADLaM Display" panose="020F0502020204030204" pitchFamily="2" charset="0"/>
                <a:ea typeface="ADLaM Display" panose="020F0502020204030204" pitchFamily="2" charset="0"/>
                <a:cs typeface="ADLaM Display" panose="020F0502020204030204" pitchFamily="2" charset="0"/>
              </a:rPr>
              <a:t> BY MONTHS</a:t>
            </a:r>
            <a:endParaRPr lang="en-US" b="1">
              <a:solidFill>
                <a:schemeClr val="tx1">
                  <a:lumMod val="95000"/>
                  <a:lumOff val="5000"/>
                </a:schemeClr>
              </a:solidFill>
              <a:latin typeface="ADLaM Display" panose="020F0502020204030204" pitchFamily="2" charset="0"/>
              <a:ea typeface="ADLaM Display" panose="020F0502020204030204" pitchFamily="2" charset="0"/>
              <a:cs typeface="ADLaM Display" panose="020F05020202040302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6708333333333336"/>
          <c:w val="0.87753018372703417"/>
          <c:h val="0.72088764946048411"/>
        </c:manualLayout>
      </c:layout>
      <c:lineChart>
        <c:grouping val="standard"/>
        <c:varyColors val="0"/>
        <c:ser>
          <c:idx val="0"/>
          <c:order val="0"/>
          <c:tx>
            <c:strRef>
              <c:f>'Sales by months'!$B$3</c:f>
              <c:strCache>
                <c:ptCount val="1"/>
                <c:pt idx="0">
                  <c:v>Total</c:v>
                </c:pt>
              </c:strCache>
            </c:strRef>
          </c:tx>
          <c:spPr>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cat>
            <c:strRef>
              <c:f>'Sales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5F51-4860-9384-D6B55BB7265C}"/>
            </c:ext>
          </c:extLst>
        </c:ser>
        <c:dLbls>
          <c:showLegendKey val="0"/>
          <c:showVal val="0"/>
          <c:showCatName val="0"/>
          <c:showSerName val="0"/>
          <c:showPercent val="0"/>
          <c:showBubbleSize val="0"/>
        </c:dLbls>
        <c:marker val="1"/>
        <c:smooth val="0"/>
        <c:axId val="933785711"/>
        <c:axId val="933795311"/>
      </c:lineChart>
      <c:catAx>
        <c:axId val="933785711"/>
        <c:scaling>
          <c:orientation val="minMax"/>
        </c:scaling>
        <c:delete val="0"/>
        <c:axPos val="b"/>
        <c:numFmt formatCode="General" sourceLinked="1"/>
        <c:majorTickMark val="none"/>
        <c:minorTickMark val="none"/>
        <c:tickLblPos val="nextTo"/>
        <c:spPr>
          <a:solidFill>
            <a:schemeClr val="accent1">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95311"/>
        <c:crosses val="autoZero"/>
        <c:auto val="1"/>
        <c:lblAlgn val="ctr"/>
        <c:lblOffset val="100"/>
        <c:noMultiLvlLbl val="0"/>
      </c:catAx>
      <c:valAx>
        <c:axId val="933795311"/>
        <c:scaling>
          <c:orientation val="minMax"/>
        </c:scaling>
        <c:delete val="0"/>
        <c:axPos val="l"/>
        <c:numFmt formatCode="General" sourceLinked="1"/>
        <c:majorTickMark val="none"/>
        <c:minorTickMark val="none"/>
        <c:tickLblPos val="nextTo"/>
        <c:spPr>
          <a:solidFill>
            <a:schemeClr val="accent1">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Abadi" panose="020F0502020204030204" pitchFamily="34" charset="0"/>
              </a:rPr>
              <a:t>Region</a:t>
            </a:r>
            <a:r>
              <a:rPr lang="en-IN" baseline="0">
                <a:latin typeface="Abadi" panose="020F0502020204030204" pitchFamily="34" charset="0"/>
              </a:rPr>
              <a:t> wise sales</a:t>
            </a:r>
            <a:endParaRPr lang="en-IN">
              <a:latin typeface="Abadi" panose="020F0502020204030204" pitchFamily="34" charset="0"/>
            </a:endParaRPr>
          </a:p>
        </c:rich>
      </c:tx>
      <c:layout>
        <c:manualLayout>
          <c:xMode val="edge"/>
          <c:yMode val="edge"/>
          <c:x val="0.32133876463015781"/>
          <c:y val="4.10509031198686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1"/>
          <c:tx>
            <c:v>high</c:v>
          </c:tx>
          <c:spPr>
            <a:solidFill>
              <a:schemeClr val="tx1"/>
            </a:solidFill>
            <a:ln>
              <a:noFill/>
            </a:ln>
            <a:effectLst>
              <a:outerShdw blurRad="57150" dist="19050" dir="5400000" algn="ctr" rotWithShape="0">
                <a:srgbClr val="000000">
                  <a:alpha val="63000"/>
                </a:srgbClr>
              </a:outerShdw>
            </a:effectLst>
            <a:sp3d/>
          </c:spPr>
          <c:invertIfNegative val="0"/>
          <c:cat>
            <c:strRef>
              <c:f>Region!$A$4:$A$8</c:f>
              <c:strCache>
                <c:ptCount val="5"/>
                <c:pt idx="0">
                  <c:v>Central</c:v>
                </c:pt>
                <c:pt idx="1">
                  <c:v>East</c:v>
                </c:pt>
                <c:pt idx="2">
                  <c:v>North</c:v>
                </c:pt>
                <c:pt idx="3">
                  <c:v>South</c:v>
                </c:pt>
                <c:pt idx="4">
                  <c:v>West</c:v>
                </c:pt>
              </c:strCache>
            </c:strRef>
          </c:cat>
          <c:val>
            <c:numRef>
              <c:f>Region!$C$4:$C$8</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0-2E5C-4F05-A3B6-9F73681323C4}"/>
            </c:ext>
          </c:extLst>
        </c:ser>
        <c:ser>
          <c:idx val="2"/>
          <c:order val="2"/>
          <c:tx>
            <c:v>low</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Region!$A$4:$A$8</c:f>
              <c:strCache>
                <c:ptCount val="5"/>
                <c:pt idx="0">
                  <c:v>Central</c:v>
                </c:pt>
                <c:pt idx="1">
                  <c:v>East</c:v>
                </c:pt>
                <c:pt idx="2">
                  <c:v>North</c:v>
                </c:pt>
                <c:pt idx="3">
                  <c:v>South</c:v>
                </c:pt>
                <c:pt idx="4">
                  <c:v>West</c:v>
                </c:pt>
              </c:strCache>
            </c:strRef>
          </c:cat>
          <c:val>
            <c:numRef>
              <c:f>Region!$D$3:$D$9</c:f>
              <c:numCache>
                <c:formatCode>General</c:formatCode>
                <c:ptCount val="7"/>
                <c:pt idx="0">
                  <c:v>0</c:v>
                </c:pt>
                <c:pt idx="1">
                  <c:v>5456</c:v>
                </c:pt>
                <c:pt idx="2">
                  <c:v>3635</c:v>
                </c:pt>
                <c:pt idx="3">
                  <c:v>#N/A</c:v>
                </c:pt>
                <c:pt idx="4">
                  <c:v>#N/A</c:v>
                </c:pt>
                <c:pt idx="5">
                  <c:v>#N/A</c:v>
                </c:pt>
                <c:pt idx="6">
                  <c:v>#N/A</c:v>
                </c:pt>
              </c:numCache>
            </c:numRef>
          </c:val>
          <c:extLst>
            <c:ext xmlns:c16="http://schemas.microsoft.com/office/drawing/2014/chart" uri="{C3380CC4-5D6E-409C-BE32-E72D297353CC}">
              <c16:uniqueId val="{00000001-2E5C-4F05-A3B6-9F73681323C4}"/>
            </c:ext>
          </c:extLst>
        </c:ser>
        <c:dLbls>
          <c:showLegendKey val="0"/>
          <c:showVal val="0"/>
          <c:showCatName val="0"/>
          <c:showSerName val="0"/>
          <c:showPercent val="0"/>
          <c:showBubbleSize val="0"/>
        </c:dLbls>
        <c:gapWidth val="150"/>
        <c:shape val="box"/>
        <c:axId val="1526406848"/>
        <c:axId val="1907543456"/>
        <c:axId val="0"/>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extLst>
                      <c:ext uri="{02D57815-91ED-43cb-92C2-25804820EDAC}">
                        <c15:formulaRef>
                          <c15:sqref>Region!$A$4:$A$8</c15:sqref>
                        </c15:formulaRef>
                      </c:ext>
                    </c:extLst>
                    <c:strCache>
                      <c:ptCount val="5"/>
                      <c:pt idx="0">
                        <c:v>Central</c:v>
                      </c:pt>
                      <c:pt idx="1">
                        <c:v>East</c:v>
                      </c:pt>
                      <c:pt idx="2">
                        <c:v>North</c:v>
                      </c:pt>
                      <c:pt idx="3">
                        <c:v>South</c:v>
                      </c:pt>
                      <c:pt idx="4">
                        <c:v>West</c:v>
                      </c:pt>
                    </c:strCache>
                  </c:strRef>
                </c:cat>
                <c:val>
                  <c:numRef>
                    <c:extLst>
                      <c:ext uri="{02D57815-91ED-43cb-92C2-25804820EDAC}">
                        <c15:formulaRef>
                          <c15:sqref>Region!$B$13:$B$17</c15:sqref>
                        </c15:formulaRef>
                      </c:ext>
                    </c:extLst>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2-2E5C-4F05-A3B6-9F73681323C4}"/>
                  </c:ext>
                </c:extLst>
              </c15:ser>
            </c15:filteredBarSeries>
          </c:ext>
        </c:extLst>
      </c:bar3DChart>
      <c:catAx>
        <c:axId val="1526406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543456"/>
        <c:crosses val="autoZero"/>
        <c:auto val="1"/>
        <c:lblAlgn val="ctr"/>
        <c:lblOffset val="100"/>
        <c:noMultiLvlLbl val="0"/>
      </c:catAx>
      <c:valAx>
        <c:axId val="1907543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6406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 project Week 3 Dataset.xlsx]Payment method!PivotTable2</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Abadi" panose="020F0502020204030204" pitchFamily="34" charset="0"/>
              </a:rPr>
              <a:t>Total sales by different payment methods</a:t>
            </a:r>
          </a:p>
        </c:rich>
      </c:tx>
      <c:layout>
        <c:manualLayout>
          <c:xMode val="edge"/>
          <c:yMode val="edge"/>
          <c:x val="0.16478885601083304"/>
          <c:y val="4.30663221360895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method'!$B$3</c:f>
              <c:strCache>
                <c:ptCount val="1"/>
                <c:pt idx="0">
                  <c:v>Total</c:v>
                </c:pt>
              </c:strCache>
            </c:strRef>
          </c:tx>
          <c:spPr>
            <a:solidFill>
              <a:schemeClr val="tx1">
                <a:lumMod val="85000"/>
                <a:lumOff val="15000"/>
              </a:schemeClr>
            </a:solidFill>
            <a:ln>
              <a:noFill/>
            </a:ln>
            <a:effectLst>
              <a:outerShdw blurRad="57150" dist="19050" dir="5400000" algn="ctr" rotWithShape="0">
                <a:srgbClr val="000000">
                  <a:alpha val="63000"/>
                </a:srgbClr>
              </a:outerShdw>
            </a:effectLst>
          </c:spPr>
          <c:invertIfNegative val="0"/>
          <c:cat>
            <c:strRef>
              <c:f>'Payment method'!$A$4:$A$9</c:f>
              <c:strCache>
                <c:ptCount val="5"/>
                <c:pt idx="0">
                  <c:v>Amazon Pay</c:v>
                </c:pt>
                <c:pt idx="1">
                  <c:v>Apple Pay</c:v>
                </c:pt>
                <c:pt idx="2">
                  <c:v>Credit Card</c:v>
                </c:pt>
                <c:pt idx="3">
                  <c:v>Debit Card</c:v>
                </c:pt>
                <c:pt idx="4">
                  <c:v>PayPal</c:v>
                </c:pt>
              </c:strCache>
            </c:strRef>
          </c:cat>
          <c:val>
            <c:numRef>
              <c:f>'Payment method'!$B$4:$B$9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34D5-46EB-88A2-9A017B779A00}"/>
            </c:ext>
          </c:extLst>
        </c:ser>
        <c:dLbls>
          <c:showLegendKey val="0"/>
          <c:showVal val="0"/>
          <c:showCatName val="0"/>
          <c:showSerName val="0"/>
          <c:showPercent val="0"/>
          <c:showBubbleSize val="0"/>
        </c:dLbls>
        <c:gapWidth val="150"/>
        <c:axId val="273284751"/>
        <c:axId val="273285711"/>
      </c:barChart>
      <c:catAx>
        <c:axId val="2732847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73285711"/>
        <c:crosses val="autoZero"/>
        <c:auto val="1"/>
        <c:lblAlgn val="ctr"/>
        <c:lblOffset val="100"/>
        <c:noMultiLvlLbl val="0"/>
      </c:catAx>
      <c:valAx>
        <c:axId val="27328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28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 project Week 3 Dataset.xlsx]Delivery status!PivotTable3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Abadi" panose="020F0502020204030204" pitchFamily="34" charset="0"/>
              </a:rPr>
              <a:t>Delivery</a:t>
            </a:r>
            <a:r>
              <a:rPr lang="en-US" baseline="0">
                <a:latin typeface="Abadi" panose="020F0502020204030204" pitchFamily="34" charset="0"/>
              </a:rPr>
              <a: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'Delivery status'!$B$3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956-447E-9187-E86394A08451}"/>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956-447E-9187-E86394A08451}"/>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956-447E-9187-E86394A084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status'!$A$4:$A$7</c:f>
              <c:strCache>
                <c:ptCount val="3"/>
                <c:pt idx="0">
                  <c:v>Cancelled</c:v>
                </c:pt>
                <c:pt idx="1">
                  <c:v>Delivered</c:v>
                </c:pt>
                <c:pt idx="2">
                  <c:v>In Transit</c:v>
                </c:pt>
              </c:strCache>
            </c:strRef>
          </c:cat>
          <c:val>
            <c:numRef>
              <c:f>'Delivery status'!$B$4:$B$7</c:f>
              <c:numCache>
                <c:formatCode>General</c:formatCode>
                <c:ptCount val="3"/>
                <c:pt idx="0">
                  <c:v>6961</c:v>
                </c:pt>
                <c:pt idx="1">
                  <c:v>13656</c:v>
                </c:pt>
                <c:pt idx="2">
                  <c:v>14641</c:v>
                </c:pt>
              </c:numCache>
            </c:numRef>
          </c:val>
          <c:extLst>
            <c:ext xmlns:c16="http://schemas.microsoft.com/office/drawing/2014/chart" uri="{C3380CC4-5D6E-409C-BE32-E72D297353CC}">
              <c16:uniqueId val="{00000006-2956-447E-9187-E86394A08451}"/>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 project Week 3 Dataset.xlsx]Sales by months!PivotTable5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rPr>
              <a:t>SALES</a:t>
            </a:r>
            <a:r>
              <a:rPr lang="en-US" b="1" baseline="0">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rPr>
              <a:t> BY MONTHS</a:t>
            </a:r>
            <a:endParaRPr lang="en-US" b="1">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6708333333333336"/>
          <c:w val="0.87753018372703417"/>
          <c:h val="0.72088764946048411"/>
        </c:manualLayout>
      </c:layout>
      <c:lineChart>
        <c:grouping val="standard"/>
        <c:varyColors val="0"/>
        <c:ser>
          <c:idx val="0"/>
          <c:order val="0"/>
          <c:tx>
            <c:strRef>
              <c:f>'Sales by months'!$B$3</c:f>
              <c:strCache>
                <c:ptCount val="1"/>
                <c:pt idx="0">
                  <c:v>Total</c:v>
                </c:pt>
              </c:strCache>
            </c:strRef>
          </c:tx>
          <c:spPr>
            <a:ln w="28575" cap="rnd">
              <a:solidFill>
                <a:schemeClr val="dk1">
                  <a:tint val="88500"/>
                </a:schemeClr>
              </a:solidFill>
              <a:round/>
            </a:ln>
            <a:effectLst/>
          </c:spPr>
          <c:marker>
            <c:symbol val="circle"/>
            <c:size val="5"/>
            <c:spPr>
              <a:solidFill>
                <a:schemeClr val="tx1"/>
              </a:solidFill>
              <a:ln w="9525">
                <a:solidFill>
                  <a:schemeClr val="dk1">
                    <a:tint val="88500"/>
                  </a:schemeClr>
                </a:solidFill>
              </a:ln>
              <a:effectLst/>
            </c:spPr>
          </c:marker>
          <c:cat>
            <c:strRef>
              <c:f>'Sales by months'!$A$4:$A$16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99C0-46F4-85FB-7F1C1C68D922}"/>
            </c:ext>
          </c:extLst>
        </c:ser>
        <c:dLbls>
          <c:showLegendKey val="0"/>
          <c:showVal val="0"/>
          <c:showCatName val="0"/>
          <c:showSerName val="0"/>
          <c:showPercent val="0"/>
          <c:showBubbleSize val="0"/>
        </c:dLbls>
        <c:marker val="1"/>
        <c:smooth val="0"/>
        <c:axId val="933785711"/>
        <c:axId val="933795311"/>
      </c:lineChart>
      <c:catAx>
        <c:axId val="933785711"/>
        <c:scaling>
          <c:orientation val="minMax"/>
        </c:scaling>
        <c:delete val="0"/>
        <c:axPos val="b"/>
        <c:numFmt formatCode="General" sourceLinked="1"/>
        <c:majorTickMark val="none"/>
        <c:minorTickMark val="none"/>
        <c:tickLblPos val="nextTo"/>
        <c:spPr>
          <a:solidFill>
            <a:schemeClr val="accent1">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95311"/>
        <c:crosses val="autoZero"/>
        <c:auto val="1"/>
        <c:lblAlgn val="ctr"/>
        <c:lblOffset val="100"/>
        <c:noMultiLvlLbl val="0"/>
      </c:catAx>
      <c:valAx>
        <c:axId val="933795311"/>
        <c:scaling>
          <c:orientation val="minMax"/>
        </c:scaling>
        <c:delete val="0"/>
        <c:axPos val="l"/>
        <c:numFmt formatCode="General" sourceLinked="1"/>
        <c:majorTickMark val="none"/>
        <c:minorTickMark val="none"/>
        <c:tickLblPos val="nextTo"/>
        <c:spPr>
          <a:solidFill>
            <a:schemeClr val="accent1">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8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480060</xdr:colOff>
      <xdr:row>1</xdr:row>
      <xdr:rowOff>175260</xdr:rowOff>
    </xdr:from>
    <xdr:to>
      <xdr:col>14</xdr:col>
      <xdr:colOff>396240</xdr:colOff>
      <xdr:row>20</xdr:row>
      <xdr:rowOff>68580</xdr:rowOff>
    </xdr:to>
    <xdr:graphicFrame macro="">
      <xdr:nvGraphicFramePr>
        <xdr:cNvPr id="7" name="Chart 6">
          <a:extLst>
            <a:ext uri="{FF2B5EF4-FFF2-40B4-BE49-F238E27FC236}">
              <a16:creationId xmlns:a16="http://schemas.microsoft.com/office/drawing/2014/main" id="{AAD7CF64-79F9-6F27-6F35-936E15139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1</xdr:row>
      <xdr:rowOff>160020</xdr:rowOff>
    </xdr:from>
    <xdr:to>
      <xdr:col>13</xdr:col>
      <xdr:colOff>365760</xdr:colOff>
      <xdr:row>21</xdr:row>
      <xdr:rowOff>15240</xdr:rowOff>
    </xdr:to>
    <xdr:graphicFrame macro="">
      <xdr:nvGraphicFramePr>
        <xdr:cNvPr id="2" name="Chart 1">
          <a:extLst>
            <a:ext uri="{FF2B5EF4-FFF2-40B4-BE49-F238E27FC236}">
              <a16:creationId xmlns:a16="http://schemas.microsoft.com/office/drawing/2014/main" id="{CA41D3E6-C897-99CC-762D-E37FAF331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594360</xdr:colOff>
      <xdr:row>1</xdr:row>
      <xdr:rowOff>175260</xdr:rowOff>
    </xdr:from>
    <xdr:to>
      <xdr:col>13</xdr:col>
      <xdr:colOff>381000</xdr:colOff>
      <xdr:row>20</xdr:row>
      <xdr:rowOff>160020</xdr:rowOff>
    </xdr:to>
    <xdr:graphicFrame macro="">
      <xdr:nvGraphicFramePr>
        <xdr:cNvPr id="2" name="Chart 1">
          <a:extLst>
            <a:ext uri="{FF2B5EF4-FFF2-40B4-BE49-F238E27FC236}">
              <a16:creationId xmlns:a16="http://schemas.microsoft.com/office/drawing/2014/main" id="{0A4EA14B-63D7-19A4-5C7E-8A41FDE0D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464820</xdr:colOff>
      <xdr:row>2</xdr:row>
      <xdr:rowOff>121920</xdr:rowOff>
    </xdr:from>
    <xdr:to>
      <xdr:col>13</xdr:col>
      <xdr:colOff>441960</xdr:colOff>
      <xdr:row>20</xdr:row>
      <xdr:rowOff>45720</xdr:rowOff>
    </xdr:to>
    <xdr:graphicFrame macro="">
      <xdr:nvGraphicFramePr>
        <xdr:cNvPr id="2" name="Chart 1">
          <a:extLst>
            <a:ext uri="{FF2B5EF4-FFF2-40B4-BE49-F238E27FC236}">
              <a16:creationId xmlns:a16="http://schemas.microsoft.com/office/drawing/2014/main" id="{69BE16C5-ED16-8AD3-F4B1-A6751C2AA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312420</xdr:colOff>
      <xdr:row>6</xdr:row>
      <xdr:rowOff>60960</xdr:rowOff>
    </xdr:from>
    <xdr:to>
      <xdr:col>10</xdr:col>
      <xdr:colOff>441960</xdr:colOff>
      <xdr:row>23</xdr:row>
      <xdr:rowOff>53340</xdr:rowOff>
    </xdr:to>
    <xdr:graphicFrame macro="">
      <xdr:nvGraphicFramePr>
        <xdr:cNvPr id="3" name="Chart 2">
          <a:extLst>
            <a:ext uri="{FF2B5EF4-FFF2-40B4-BE49-F238E27FC236}">
              <a16:creationId xmlns:a16="http://schemas.microsoft.com/office/drawing/2014/main" id="{481C837C-DC5A-47CB-A76B-6B2C5D692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320040</xdr:colOff>
      <xdr:row>6</xdr:row>
      <xdr:rowOff>106680</xdr:rowOff>
    </xdr:from>
    <xdr:to>
      <xdr:col>19</xdr:col>
      <xdr:colOff>15240</xdr:colOff>
      <xdr:row>23</xdr:row>
      <xdr:rowOff>53340</xdr:rowOff>
    </xdr:to>
    <xdr:graphicFrame macro="">
      <xdr:nvGraphicFramePr>
        <xdr:cNvPr id="5" name="Chart 4">
          <a:extLst>
            <a:ext uri="{FF2B5EF4-FFF2-40B4-BE49-F238E27FC236}">
              <a16:creationId xmlns:a16="http://schemas.microsoft.com/office/drawing/2014/main" id="{F1C2A683-796D-4173-A4A8-A83EF4AB0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327660</xdr:colOff>
      <xdr:row>26</xdr:row>
      <xdr:rowOff>45720</xdr:rowOff>
    </xdr:from>
    <xdr:to>
      <xdr:col>10</xdr:col>
      <xdr:colOff>441960</xdr:colOff>
      <xdr:row>41</xdr:row>
      <xdr:rowOff>160020</xdr:rowOff>
    </xdr:to>
    <xdr:graphicFrame macro="">
      <xdr:nvGraphicFramePr>
        <xdr:cNvPr id="6" name="Chart 5">
          <a:extLst>
            <a:ext uri="{FF2B5EF4-FFF2-40B4-BE49-F238E27FC236}">
              <a16:creationId xmlns:a16="http://schemas.microsoft.com/office/drawing/2014/main" id="{ADFB484E-CACD-49DF-AB3A-D0EE0F6E0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365760</xdr:colOff>
      <xdr:row>26</xdr:row>
      <xdr:rowOff>53340</xdr:rowOff>
    </xdr:from>
    <xdr:to>
      <xdr:col>19</xdr:col>
      <xdr:colOff>45720</xdr:colOff>
      <xdr:row>41</xdr:row>
      <xdr:rowOff>167640</xdr:rowOff>
    </xdr:to>
    <xdr:graphicFrame macro="">
      <xdr:nvGraphicFramePr>
        <xdr:cNvPr id="8" name="Chart 7">
          <a:extLst>
            <a:ext uri="{FF2B5EF4-FFF2-40B4-BE49-F238E27FC236}">
              <a16:creationId xmlns:a16="http://schemas.microsoft.com/office/drawing/2014/main" id="{1CFF9D38-C4F6-4584-A27A-F2326FB3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144780</xdr:colOff>
      <xdr:row>6</xdr:row>
      <xdr:rowOff>152401</xdr:rowOff>
    </xdr:from>
    <xdr:to>
      <xdr:col>2</xdr:col>
      <xdr:colOff>586740</xdr:colOff>
      <xdr:row>16</xdr:row>
      <xdr:rowOff>60960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3134AEA-02C6-0D61-E046-C62E7A3DD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1463041"/>
              <a:ext cx="166116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20</xdr:row>
      <xdr:rowOff>144781</xdr:rowOff>
    </xdr:from>
    <xdr:to>
      <xdr:col>2</xdr:col>
      <xdr:colOff>556260</xdr:colOff>
      <xdr:row>30</xdr:row>
      <xdr:rowOff>45721</xdr:rowOff>
    </xdr:to>
    <mc:AlternateContent xmlns:mc="http://schemas.openxmlformats.org/markup-compatibility/2006">
      <mc:Choice xmlns:a14="http://schemas.microsoft.com/office/drawing/2010/main" Requires="a14">
        <xdr:graphicFrame macro="">
          <xdr:nvGraphicFramePr>
            <xdr:cNvPr id="10" name="Payment Method">
              <a:extLst>
                <a:ext uri="{FF2B5EF4-FFF2-40B4-BE49-F238E27FC236}">
                  <a16:creationId xmlns:a16="http://schemas.microsoft.com/office/drawing/2014/main" id="{6866DBB0-3BFC-1001-E573-61709CADECD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9540" y="4015741"/>
              <a:ext cx="164592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34</xdr:row>
      <xdr:rowOff>167640</xdr:rowOff>
    </xdr:from>
    <xdr:to>
      <xdr:col>2</xdr:col>
      <xdr:colOff>556260</xdr:colOff>
      <xdr:row>41</xdr:row>
      <xdr:rowOff>175261</xdr:rowOff>
    </xdr:to>
    <mc:AlternateContent xmlns:mc="http://schemas.openxmlformats.org/markup-compatibility/2006">
      <mc:Choice xmlns:a14="http://schemas.microsoft.com/office/drawing/2010/main" Requires="a14">
        <xdr:graphicFrame macro="">
          <xdr:nvGraphicFramePr>
            <xdr:cNvPr id="11" name="Delivery Status">
              <a:extLst>
                <a:ext uri="{FF2B5EF4-FFF2-40B4-BE49-F238E27FC236}">
                  <a16:creationId xmlns:a16="http://schemas.microsoft.com/office/drawing/2014/main" id="{C75EEE72-79D8-08D5-3E66-23A4FEC2697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06680" y="6598920"/>
              <a:ext cx="1668780" cy="128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396240</xdr:colOff>
      <xdr:row>8</xdr:row>
      <xdr:rowOff>68580</xdr:rowOff>
    </xdr:from>
    <xdr:to>
      <xdr:col>22</xdr:col>
      <xdr:colOff>304800</xdr:colOff>
      <xdr:row>15</xdr:row>
      <xdr:rowOff>38100</xdr:rowOff>
    </xdr:to>
    <xdr:sp macro="" textlink="">
      <xdr:nvSpPr>
        <xdr:cNvPr id="12" name="Rectangle: Rounded Corners 11">
          <a:extLst>
            <a:ext uri="{FF2B5EF4-FFF2-40B4-BE49-F238E27FC236}">
              <a16:creationId xmlns:a16="http://schemas.microsoft.com/office/drawing/2014/main" id="{E371D23A-2DA1-B902-1AFD-1B22DCE1218F}"/>
            </a:ext>
          </a:extLst>
        </xdr:cNvPr>
        <xdr:cNvSpPr/>
      </xdr:nvSpPr>
      <xdr:spPr>
        <a:xfrm>
          <a:off x="11978640" y="1744980"/>
          <a:ext cx="1737360" cy="12496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u="sng">
              <a:solidFill>
                <a:schemeClr val="tx1"/>
              </a:solidFill>
            </a:rPr>
            <a:t>SUM</a:t>
          </a:r>
          <a:r>
            <a:rPr lang="en-IN" sz="1200" b="1" u="sng" baseline="0">
              <a:solidFill>
                <a:schemeClr val="tx1"/>
              </a:solidFill>
            </a:rPr>
            <a:t> OF TOTAL SALES</a:t>
          </a:r>
          <a:endParaRPr lang="en-IN" sz="1200" b="1" u="sng">
            <a:solidFill>
              <a:schemeClr val="tx1"/>
            </a:solidFill>
          </a:endParaRPr>
        </a:p>
      </xdr:txBody>
    </xdr:sp>
    <xdr:clientData/>
  </xdr:twoCellAnchor>
  <xdr:twoCellAnchor>
    <xdr:from>
      <xdr:col>20</xdr:col>
      <xdr:colOff>76200</xdr:colOff>
      <xdr:row>10</xdr:row>
      <xdr:rowOff>144780</xdr:rowOff>
    </xdr:from>
    <xdr:to>
      <xdr:col>22</xdr:col>
      <xdr:colOff>236220</xdr:colOff>
      <xdr:row>13</xdr:row>
      <xdr:rowOff>114300</xdr:rowOff>
    </xdr:to>
    <xdr:sp macro="" textlink="AT9">
      <xdr:nvSpPr>
        <xdr:cNvPr id="15" name="TextBox 14">
          <a:extLst>
            <a:ext uri="{FF2B5EF4-FFF2-40B4-BE49-F238E27FC236}">
              <a16:creationId xmlns:a16="http://schemas.microsoft.com/office/drawing/2014/main" id="{AD3B1549-E304-9F06-CCE5-D0BDF62478D3}"/>
            </a:ext>
          </a:extLst>
        </xdr:cNvPr>
        <xdr:cNvSpPr txBox="1"/>
      </xdr:nvSpPr>
      <xdr:spPr>
        <a:xfrm>
          <a:off x="12268200" y="2186940"/>
          <a:ext cx="1379220" cy="51816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88FBA7-51E4-4F23-B71F-B9F28B12DCA8}" type="TxLink">
            <a:rPr lang="en-US" sz="3200" b="0" i="0" u="none" strike="noStrike">
              <a:solidFill>
                <a:schemeClr val="tx1"/>
              </a:solidFill>
              <a:latin typeface="Calibri"/>
              <a:ea typeface="Calibri"/>
              <a:cs typeface="Calibri"/>
            </a:rPr>
            <a:pPr/>
            <a:t>35258</a:t>
          </a:fld>
          <a:endParaRPr lang="en-IN" sz="3200">
            <a:solidFill>
              <a:schemeClr val="tx1"/>
            </a:solidFill>
          </a:endParaRPr>
        </a:p>
      </xdr:txBody>
    </xdr:sp>
    <xdr:clientData/>
  </xdr:twoCellAnchor>
  <xdr:oneCellAnchor>
    <xdr:from>
      <xdr:col>22</xdr:col>
      <xdr:colOff>342900</xdr:colOff>
      <xdr:row>11</xdr:row>
      <xdr:rowOff>53340</xdr:rowOff>
    </xdr:from>
    <xdr:ext cx="184731" cy="264560"/>
    <xdr:sp macro="" textlink="">
      <xdr:nvSpPr>
        <xdr:cNvPr id="16" name="TextBox 15">
          <a:extLst>
            <a:ext uri="{FF2B5EF4-FFF2-40B4-BE49-F238E27FC236}">
              <a16:creationId xmlns:a16="http://schemas.microsoft.com/office/drawing/2014/main" id="{6D605486-32ED-3EF2-B623-B21D3B152B23}"/>
            </a:ext>
          </a:extLst>
        </xdr:cNvPr>
        <xdr:cNvSpPr txBox="1"/>
      </xdr:nvSpPr>
      <xdr:spPr>
        <a:xfrm>
          <a:off x="13754100" y="2278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289560</xdr:colOff>
      <xdr:row>16</xdr:row>
      <xdr:rowOff>167640</xdr:rowOff>
    </xdr:from>
    <xdr:to>
      <xdr:col>22</xdr:col>
      <xdr:colOff>502920</xdr:colOff>
      <xdr:row>45</xdr:row>
      <xdr:rowOff>53340</xdr:rowOff>
    </xdr:to>
    <xdr:sp macro="" textlink="">
      <xdr:nvSpPr>
        <xdr:cNvPr id="2" name="Rectangle: Rounded Corners 1">
          <a:extLst>
            <a:ext uri="{FF2B5EF4-FFF2-40B4-BE49-F238E27FC236}">
              <a16:creationId xmlns:a16="http://schemas.microsoft.com/office/drawing/2014/main" id="{2A817A70-8ABD-2E37-5BFE-3957D4B05067}"/>
            </a:ext>
          </a:extLst>
        </xdr:cNvPr>
        <xdr:cNvSpPr/>
      </xdr:nvSpPr>
      <xdr:spPr>
        <a:xfrm>
          <a:off x="11871960" y="3307080"/>
          <a:ext cx="2042160" cy="518922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a:solidFill>
                <a:schemeClr val="tx1"/>
              </a:solidFill>
              <a:latin typeface="ADLaM Display" panose="02010000000000000000" pitchFamily="2" charset="0"/>
              <a:ea typeface="ADLaM Display" panose="02010000000000000000" pitchFamily="2" charset="0"/>
              <a:cs typeface="ADLaM Display" panose="02010000000000000000" pitchFamily="2" charset="0"/>
            </a:rPr>
            <a:t>SUMMARY</a:t>
          </a:r>
        </a:p>
        <a:p>
          <a:pPr algn="ctr"/>
          <a:endParaRPr lang="en-IN" sz="2000" b="0">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19</xdr:col>
      <xdr:colOff>426720</xdr:colOff>
      <xdr:row>19</xdr:row>
      <xdr:rowOff>60960</xdr:rowOff>
    </xdr:from>
    <xdr:to>
      <xdr:col>22</xdr:col>
      <xdr:colOff>419100</xdr:colOff>
      <xdr:row>44</xdr:row>
      <xdr:rowOff>30480</xdr:rowOff>
    </xdr:to>
    <xdr:sp macro="" textlink="">
      <xdr:nvSpPr>
        <xdr:cNvPr id="4" name="TextBox 3">
          <a:extLst>
            <a:ext uri="{FF2B5EF4-FFF2-40B4-BE49-F238E27FC236}">
              <a16:creationId xmlns:a16="http://schemas.microsoft.com/office/drawing/2014/main" id="{E9BD4555-7C60-60F2-17BE-2CAABF06D090}"/>
            </a:ext>
          </a:extLst>
        </xdr:cNvPr>
        <xdr:cNvSpPr txBox="1"/>
      </xdr:nvSpPr>
      <xdr:spPr>
        <a:xfrm>
          <a:off x="12009120" y="3749040"/>
          <a:ext cx="1821180" cy="45415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p>
        <a:p>
          <a:r>
            <a:rPr lang="en-IN" sz="1100" baseline="0"/>
            <a:t> 1. Highest performing region is North</a:t>
          </a:r>
        </a:p>
        <a:p>
          <a:endParaRPr lang="en-IN" sz="1100" baseline="0"/>
        </a:p>
        <a:p>
          <a:r>
            <a:rPr lang="en-IN" sz="1100" baseline="0"/>
            <a:t>2. Lowest performing region is East</a:t>
          </a:r>
        </a:p>
        <a:p>
          <a:endParaRPr lang="en-IN" sz="1100" baseline="0"/>
        </a:p>
        <a:p>
          <a:r>
            <a:rPr lang="en-IN" sz="1100" baseline="0"/>
            <a:t>3. Highest performing payment method is Credit card.</a:t>
          </a:r>
        </a:p>
        <a:p>
          <a:endParaRPr lang="en-IN" sz="1100" baseline="0"/>
        </a:p>
        <a:p>
          <a:r>
            <a:rPr lang="en-IN" sz="1100" baseline="0"/>
            <a:t>4. Lowest performing payment is Amazon pay.</a:t>
          </a:r>
        </a:p>
        <a:p>
          <a:endParaRPr lang="en-IN" sz="1100" baseline="0"/>
        </a:p>
        <a:p>
          <a:r>
            <a:rPr lang="en-IN" sz="1100" baseline="0"/>
            <a:t>5. Most numbers of orders are still in transit whereas some orders are delivered too and very few orders are cancelled by buyers.</a:t>
          </a:r>
        </a:p>
        <a:p>
          <a:endParaRPr lang="en-IN" sz="1100" baseline="0"/>
        </a:p>
        <a:p>
          <a:r>
            <a:rPr lang="en-IN" sz="1100" baseline="0"/>
            <a:t>6. Highest sales are achived in the month of November.</a:t>
          </a:r>
        </a:p>
        <a:p>
          <a:endParaRPr lang="en-IN" sz="1100" baseline="0"/>
        </a:p>
        <a:p>
          <a:r>
            <a:rPr lang="en-IN" sz="1100" baseline="0"/>
            <a:t>7. Lowest numbers of sales are achived in the month of March.</a:t>
          </a:r>
        </a:p>
        <a:p>
          <a:r>
            <a:rPr lang="en-IN" sz="1100" baseline="0"/>
            <a:t> </a:t>
          </a:r>
        </a:p>
        <a:p>
          <a:r>
            <a:rPr lang="en-IN" sz="1100" baseline="0"/>
            <a:t> </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refreshedDate="46079.562609490742" createdVersion="8" refreshedVersion="8" minRefreshableVersion="3" recordCount="100" xr:uid="{956606FF-B669-4FD0-83A4-E72D686F70E4}">
  <cacheSource type="worksheet">
    <worksheetSource ref="A1:O101" sheet="Orders"/>
  </cacheSource>
  <cacheFields count="1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refreshedDate="46079.59160925926" createdVersion="8" refreshedVersion="8" minRefreshableVersion="3" recordCount="100" xr:uid="{0F13614A-D1D2-41EB-ADB6-075063B3D025}">
  <cacheSource type="worksheet">
    <worksheetSource ref="A1:P101" sheet="Orders"/>
  </cacheSource>
  <cacheFields count="16">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acheField>
    <cacheField name="Product category" numFmtId="0">
      <sharedItems count="5">
        <s v="Home"/>
        <s v="Toys"/>
        <s v="Fashion"/>
        <s v="Electronics"/>
        <s v="Books"/>
      </sharedItems>
    </cacheField>
    <cacheField name="Avg. delivery date" numFmtId="0">
      <sharedItems containsMixedTypes="1" containsNumber="1" containsInteger="1" minValue="1" maxValue="7" count="8">
        <s v="NA"/>
        <n v="2"/>
        <n v="3"/>
        <n v="6"/>
        <n v="1"/>
        <n v="4"/>
        <n v="5"/>
        <n v="7"/>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refreshedDate="46079.781740046295" createdVersion="8" refreshedVersion="8" minRefreshableVersion="3" recordCount="100" xr:uid="{98D62C72-2C17-4A4B-B9B5-2FB5FB1CBEEE}">
  <cacheSource type="worksheet">
    <worksheetSource ref="A1:R101" sheet="Orders"/>
  </cacheSource>
  <cacheFields count="18">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Is cancelled" numFmtId="0">
      <sharedItems count="2">
        <s v="Yes"/>
        <s v="No"/>
      </sharedItems>
    </cacheField>
    <cacheField name="Product category" numFmtId="0">
      <sharedItems/>
    </cacheField>
    <cacheField name="Avg. delivery date"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AJ" refreshedDate="46079.95755324074" createdVersion="8" refreshedVersion="8" minRefreshableVersion="3" recordCount="100" xr:uid="{5A9B3B9E-8320-430A-912A-715C04E96831}">
  <cacheSource type="worksheet">
    <worksheetSource ref="A1:S101" sheet="Orders"/>
  </cacheSource>
  <cacheFields count="27">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0"/>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3"/>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fieldGroup par="26"/>
    </cacheField>
    <cacheField name="Is cancelled" numFmtId="0">
      <sharedItems count="2">
        <s v="Yes"/>
        <s v="No"/>
      </sharedItems>
    </cacheField>
    <cacheField name="Product category" numFmtId="0">
      <sharedItems count="5">
        <s v="Home"/>
        <s v="Toys"/>
        <s v="Fashion"/>
        <s v="Electronics"/>
        <s v="Books"/>
      </sharedItems>
    </cacheField>
    <cacheField name="Avg. delivery date" numFmtId="0">
      <sharedItems containsMixedTypes="1" containsNumber="1" containsInteger="1" minValue="1" maxValue="7" count="8">
        <s v="NA"/>
        <n v="2"/>
        <n v="3"/>
        <n v="6"/>
        <n v="1"/>
        <n v="4"/>
        <n v="5"/>
        <n v="7"/>
      </sharedItems>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Days (Order Date)" numFmtId="0" databaseField="0">
      <fieldGroup base="10">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0">
        <rangePr groupBy="months" startDate="2023-01-07T00:00:00" endDate="2024-01-01T00:00:00"/>
        <groupItems count="14">
          <s v="&lt;07-01-2023"/>
          <s v="Jan"/>
          <s v="Feb"/>
          <s v="Mar"/>
          <s v="Apr"/>
          <s v="May"/>
          <s v="Jun"/>
          <s v="Jul"/>
          <s v="Aug"/>
          <s v="Sep"/>
          <s v="Oct"/>
          <s v="Nov"/>
          <s v="Dec"/>
          <s v="&gt;01-01-2024"/>
        </groupItems>
      </fieldGroup>
    </cacheField>
    <cacheField name="Months (Delivery Date)" numFmtId="0" databaseField="0">
      <fieldGroup base="11">
        <rangePr groupBy="months" startDate="2023-01-09T00:00:00" endDate="2024-01-02T00:00:00"/>
        <groupItems count="14">
          <s v="&lt;09-01-2023"/>
          <s v="Jan"/>
          <s v="Feb"/>
          <s v="Mar"/>
          <s v="Apr"/>
          <s v="May"/>
          <s v="Jun"/>
          <s v="Jul"/>
          <s v="Aug"/>
          <s v="Sep"/>
          <s v="Oct"/>
          <s v="Nov"/>
          <s v="Dec"/>
          <s v="&gt;02-01-2024"/>
        </groupItems>
      </fieldGroup>
    </cacheField>
    <cacheField name="Quarters (Delivery Date)" numFmtId="0" databaseField="0">
      <fieldGroup base="11">
        <rangePr groupBy="quarters" startDate="2023-01-09T00:00:00" endDate="2024-01-02T00:00:00"/>
        <groupItems count="6">
          <s v="&lt;09-01-2023"/>
          <s v="Qtr1"/>
          <s v="Qtr2"/>
          <s v="Qtr3"/>
          <s v="Qtr4"/>
          <s v="&gt;02-01-2024"/>
        </groupItems>
      </fieldGroup>
    </cacheField>
    <cacheField name="Years (Delivery Date)" numFmtId="0" databaseField="0">
      <fieldGroup base="11">
        <rangePr groupBy="years" startDate="2023-01-09T00:00:00" endDate="2024-01-02T00:00:00"/>
        <groupItems count="4">
          <s v="&lt;09-01-2023"/>
          <s v="2023"/>
          <s v="2024"/>
          <s v="&gt;02-01-2024"/>
        </groupItems>
      </fieldGroup>
    </cacheField>
    <cacheField name="Months (Cancel Date)" numFmtId="0" databaseField="0">
      <fieldGroup base="12">
        <rangePr groupBy="months" startDate="2023-01-24T00:00:00" endDate="2024-01-03T00:00:00"/>
        <groupItems count="14">
          <s v="&lt;24-01-2023"/>
          <s v="Jan"/>
          <s v="Feb"/>
          <s v="Mar"/>
          <s v="Apr"/>
          <s v="May"/>
          <s v="Jun"/>
          <s v="Jul"/>
          <s v="Aug"/>
          <s v="Sep"/>
          <s v="Oct"/>
          <s v="Nov"/>
          <s v="Dec"/>
          <s v="&gt;03-01-2024"/>
        </groupItems>
      </fieldGroup>
    </cacheField>
    <cacheField name="Quarters (Cancel Date)" numFmtId="0" databaseField="0">
      <fieldGroup base="12">
        <rangePr groupBy="quarters" startDate="2023-01-24T00:00:00" endDate="2024-01-03T00:00:00"/>
        <groupItems count="6">
          <s v="&lt;24-01-2023"/>
          <s v="Qtr1"/>
          <s v="Qtr2"/>
          <s v="Qtr3"/>
          <s v="Qtr4"/>
          <s v="&gt;03-01-2024"/>
        </groupItems>
      </fieldGroup>
    </cacheField>
    <cacheField name="Years (Cancel Date)" numFmtId="0" databaseField="0">
      <fieldGroup base="12">
        <rangePr groupBy="years" startDate="2023-01-24T00:00:00" endDate="2024-01-03T00:00:00"/>
        <groupItems count="4">
          <s v="&lt;24-01-2023"/>
          <s v="2023"/>
          <s v="2024"/>
          <s v="&gt;03-01-2024"/>
        </groupItems>
      </fieldGroup>
    </cacheField>
  </cacheFields>
  <extLst>
    <ext xmlns:x14="http://schemas.microsoft.com/office/spreadsheetml/2009/9/main" uri="{725AE2AE-9491-48be-B2B4-4EB974FC3084}">
      <x14:pivotCacheDefinition pivotCacheId="422461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s v="Cancelled"/>
    <s v="DHL"/>
    <d v="2023-12-31T00:00:00"/>
    <m/>
    <d v="2024-01-02T00:00:00"/>
    <s v="Yes"/>
    <x v="0"/>
  </r>
  <r>
    <s v="ORD0002"/>
    <s v="CUST029"/>
    <s v="PROD018"/>
    <x v="1"/>
    <n v="96"/>
    <n v="4"/>
    <n v="384"/>
    <s v="Credit Card"/>
    <s v="Delivered"/>
    <s v="DHL"/>
    <d v="2023-02-22T00:00:00"/>
    <d v="2023-02-24T00:00:00"/>
    <m/>
    <s v="No"/>
    <x v="1"/>
  </r>
  <r>
    <s v="ORD0003"/>
    <s v="CUST021"/>
    <s v="PROD013"/>
    <x v="2"/>
    <n v="194"/>
    <n v="4"/>
    <n v="776"/>
    <s v="Credit Card"/>
    <s v="In Transit"/>
    <s v="USPS"/>
    <d v="2023-10-11T00:00:00"/>
    <m/>
    <m/>
    <s v="No"/>
    <x v="0"/>
  </r>
  <r>
    <s v="ORD0004"/>
    <s v="CUST044"/>
    <s v="PROD013"/>
    <x v="0"/>
    <n v="196"/>
    <n v="3"/>
    <n v="588"/>
    <s v="PayPal"/>
    <s v="Cancelled"/>
    <s v="UPS"/>
    <d v="2023-05-05T00:00:00"/>
    <m/>
    <d v="2023-05-11T00:00:00"/>
    <s v="Yes"/>
    <x v="0"/>
  </r>
  <r>
    <s v="ORD0005"/>
    <s v="CUST027"/>
    <s v="PROD010"/>
    <x v="0"/>
    <n v="59"/>
    <n v="1"/>
    <n v="59"/>
    <s v="PayPal"/>
    <s v="Delivered"/>
    <s v="Amazon Logistics"/>
    <d v="2023-02-02T00:00:00"/>
    <d v="2023-02-05T00:00:00"/>
    <m/>
    <s v="No"/>
    <x v="2"/>
  </r>
  <r>
    <s v="ORD0006"/>
    <s v="CUST009"/>
    <s v="PROD010"/>
    <x v="0"/>
    <n v="58"/>
    <n v="4"/>
    <n v="232"/>
    <s v="Amazon Pay"/>
    <s v="Cancelled"/>
    <s v="DHL"/>
    <d v="2023-11-01T00:00:00"/>
    <m/>
    <d v="2023-11-02T00:00:00"/>
    <s v="Yes"/>
    <x v="2"/>
  </r>
  <r>
    <s v="ORD0007"/>
    <s v="CUST042"/>
    <s v="PROD020"/>
    <x v="3"/>
    <n v="105"/>
    <n v="3"/>
    <n v="315"/>
    <s v="Debit Card"/>
    <s v="Cancelled"/>
    <s v="DHL"/>
    <d v="2023-08-14T00:00:00"/>
    <m/>
    <d v="2023-08-18T00:00:00"/>
    <s v="Yes"/>
    <x v="3"/>
  </r>
  <r>
    <s v="ORD0008"/>
    <s v="CUST019"/>
    <s v="PROD021"/>
    <x v="4"/>
    <n v="37"/>
    <n v="5"/>
    <n v="185"/>
    <s v="PayPal"/>
    <s v="Cancelled"/>
    <s v="DHL"/>
    <d v="2023-04-01T00:00:00"/>
    <m/>
    <d v="2023-04-06T00:00:00"/>
    <s v="Yes"/>
    <x v="0"/>
  </r>
  <r>
    <s v="ORD0009"/>
    <s v="CUST013"/>
    <s v="PROD019"/>
    <x v="3"/>
    <n v="44"/>
    <n v="2"/>
    <n v="88"/>
    <s v="Credit Card"/>
    <s v="In Transit"/>
    <s v="Amazon Logistics"/>
    <d v="2023-07-21T00:00:00"/>
    <m/>
    <m/>
    <s v="No"/>
    <x v="2"/>
  </r>
  <r>
    <s v="ORD0010"/>
    <s v="CUST019"/>
    <s v="PROD003"/>
    <x v="2"/>
    <n v="141"/>
    <n v="4"/>
    <n v="564"/>
    <s v="Debit Card"/>
    <s v="In Transit"/>
    <s v="DHL"/>
    <d v="2023-12-29T00:00:00"/>
    <m/>
    <m/>
    <s v="No"/>
    <x v="0"/>
  </r>
  <r>
    <s v="ORD0011"/>
    <s v="CUST046"/>
    <s v="PROD014"/>
    <x v="2"/>
    <n v="249"/>
    <n v="1"/>
    <n v="249"/>
    <s v="Amazon Pay"/>
    <s v="Cancelled"/>
    <s v="USPS"/>
    <d v="2023-05-04T00:00:00"/>
    <m/>
    <d v="2023-05-08T00:00:00"/>
    <s v="Yes"/>
    <x v="3"/>
  </r>
  <r>
    <s v="ORD0012"/>
    <s v="CUST045"/>
    <s v="PROD014"/>
    <x v="3"/>
    <n v="247"/>
    <n v="3"/>
    <n v="741"/>
    <s v="Amazon Pay"/>
    <s v="In Transit"/>
    <s v="FedEx"/>
    <d v="2023-07-25T00:00:00"/>
    <m/>
    <m/>
    <s v="No"/>
    <x v="3"/>
  </r>
  <r>
    <s v="ORD0013"/>
    <s v="CUST023"/>
    <s v="PROD006"/>
    <x v="3"/>
    <n v="96"/>
    <n v="1"/>
    <n v="96"/>
    <s v="Apple Pay"/>
    <s v="Cancelled"/>
    <s v="Amazon Logistics"/>
    <d v="2023-02-25T00:00:00"/>
    <m/>
    <d v="2023-02-28T00:00:00"/>
    <s v="Yes"/>
    <x v="2"/>
  </r>
  <r>
    <s v="ORD0014"/>
    <s v="CUST033"/>
    <s v="PROD017"/>
    <x v="4"/>
    <n v="74"/>
    <n v="5"/>
    <n v="370"/>
    <s v="Apple Pay"/>
    <s v="Cancelled"/>
    <s v="Amazon Logistics"/>
    <d v="2023-02-24T00:00:00"/>
    <m/>
    <d v="2023-02-25T00:00:00"/>
    <s v="Yes"/>
    <x v="3"/>
  </r>
  <r>
    <s v="ORD0015"/>
    <s v="CUST033"/>
    <s v="PROD005"/>
    <x v="2"/>
    <n v="27"/>
    <n v="1"/>
    <n v="27"/>
    <s v="Credit Card"/>
    <s v="Cancelled"/>
    <s v="Amazon Logistics"/>
    <d v="2023-08-26T00:00:00"/>
    <m/>
    <d v="2023-09-02T00:00:00"/>
    <s v="Yes"/>
    <x v="2"/>
  </r>
  <r>
    <s v="ORD0016"/>
    <s v="CUST047"/>
    <s v="PROD005"/>
    <x v="2"/>
    <n v="27"/>
    <n v="3"/>
    <n v="81"/>
    <s v="Debit Card"/>
    <s v="In Transit"/>
    <s v="Amazon Logistics"/>
    <d v="2023-02-13T00:00:00"/>
    <m/>
    <m/>
    <s v="No"/>
    <x v="2"/>
  </r>
  <r>
    <s v="ORD0017"/>
    <s v="CUST045"/>
    <s v="PROD015"/>
    <x v="1"/>
    <n v="21"/>
    <n v="3"/>
    <n v="63"/>
    <s v="Credit Card"/>
    <s v="Delivered"/>
    <s v="DHL"/>
    <d v="2023-06-28T00:00:00"/>
    <d v="2023-07-01T00:00:00"/>
    <m/>
    <s v="No"/>
    <x v="4"/>
  </r>
  <r>
    <s v="ORD0018"/>
    <s v="CUST011"/>
    <s v="PROD008"/>
    <x v="4"/>
    <n v="70"/>
    <n v="5"/>
    <n v="350"/>
    <s v="PayPal"/>
    <s v="In Transit"/>
    <s v="Amazon Logistics"/>
    <d v="2023-11-28T00:00:00"/>
    <m/>
    <m/>
    <s v="No"/>
    <x v="4"/>
  </r>
  <r>
    <s v="ORD0019"/>
    <s v="CUST041"/>
    <s v="PROD006"/>
    <x v="2"/>
    <n v="94"/>
    <n v="4"/>
    <n v="376"/>
    <s v="Credit Card"/>
    <s v="In Transit"/>
    <s v="USPS"/>
    <d v="2023-08-25T00:00:00"/>
    <m/>
    <m/>
    <s v="No"/>
    <x v="2"/>
  </r>
  <r>
    <s v="ORD0020"/>
    <s v="CUST025"/>
    <s v="PROD001"/>
    <x v="0"/>
    <n v="813"/>
    <n v="2"/>
    <n v="1626"/>
    <s v="Credit Card"/>
    <s v="In Transit"/>
    <s v="FedEx"/>
    <d v="2023-04-12T00:00:00"/>
    <m/>
    <m/>
    <s v="No"/>
    <x v="3"/>
  </r>
  <r>
    <s v="ORD0021"/>
    <s v="CUST013"/>
    <s v="PROD015"/>
    <x v="3"/>
    <n v="21"/>
    <n v="4"/>
    <n v="84"/>
    <s v="PayPal"/>
    <s v="In Transit"/>
    <s v="Amazon Logistics"/>
    <d v="2023-10-02T00:00:00"/>
    <m/>
    <m/>
    <s v="No"/>
    <x v="4"/>
  </r>
  <r>
    <s v="ORD0022"/>
    <s v="CUST023"/>
    <s v="PROD012"/>
    <x v="4"/>
    <n v="46"/>
    <n v="5"/>
    <n v="230"/>
    <s v="PayPal"/>
    <s v="In Transit"/>
    <s v="USPS"/>
    <d v="2023-11-09T00:00:00"/>
    <m/>
    <m/>
    <s v="No"/>
    <x v="0"/>
  </r>
  <r>
    <s v="ORD0023"/>
    <s v="CUST016"/>
    <s v="PROD010"/>
    <x v="4"/>
    <n v="58"/>
    <n v="3"/>
    <n v="174"/>
    <s v="Amazon Pay"/>
    <s v="Cancelled"/>
    <s v="Amazon Logistics"/>
    <d v="2023-02-13T00:00:00"/>
    <m/>
    <d v="2023-02-14T00:00:00"/>
    <s v="Yes"/>
    <x v="2"/>
  </r>
  <r>
    <s v="ORD0024"/>
    <s v="CUST028"/>
    <s v="PROD006"/>
    <x v="4"/>
    <n v="96"/>
    <n v="5"/>
    <n v="480"/>
    <s v="Amazon Pay"/>
    <s v="Delivered"/>
    <s v="Amazon Logistics"/>
    <d v="2023-11-02T00:00:00"/>
    <d v="2023-11-05T00:00:00"/>
    <m/>
    <s v="No"/>
    <x v="2"/>
  </r>
  <r>
    <s v="ORD0025"/>
    <s v="CUST040"/>
    <s v="PROD002"/>
    <x v="2"/>
    <n v="43"/>
    <n v="1"/>
    <n v="43"/>
    <s v="Debit Card"/>
    <s v="Delivered"/>
    <s v="Amazon Logistics"/>
    <d v="2023-05-28T00:00:00"/>
    <d v="2023-05-30T00:00:00"/>
    <m/>
    <s v="No"/>
    <x v="1"/>
  </r>
  <r>
    <s v="ORD0026"/>
    <s v="CUST027"/>
    <s v="PROD022"/>
    <x v="2"/>
    <n v="64"/>
    <n v="4"/>
    <n v="256"/>
    <s v="Debit Card"/>
    <s v="Delivered"/>
    <s v="USPS"/>
    <d v="2023-10-15T00:00:00"/>
    <d v="2023-10-21T00:00:00"/>
    <m/>
    <s v="No"/>
    <x v="2"/>
  </r>
  <r>
    <s v="ORD0027"/>
    <s v="CUST018"/>
    <s v="PROD008"/>
    <x v="2"/>
    <n v="70"/>
    <n v="2"/>
    <n v="140"/>
    <s v="Amazon Pay"/>
    <s v="In Transit"/>
    <s v="Amazon Logistics"/>
    <d v="2023-01-16T00:00:00"/>
    <m/>
    <m/>
    <s v="No"/>
    <x v="4"/>
  </r>
  <r>
    <s v="ORD0028"/>
    <s v="CUST018"/>
    <s v="PROD018"/>
    <x v="3"/>
    <n v="97"/>
    <n v="3"/>
    <n v="291"/>
    <s v="Credit Card"/>
    <s v="In Transit"/>
    <s v="Amazon Logistics"/>
    <d v="2023-10-09T00:00:00"/>
    <m/>
    <m/>
    <s v="No"/>
    <x v="1"/>
  </r>
  <r>
    <s v="ORD0029"/>
    <s v="CUST007"/>
    <s v="PROD021"/>
    <x v="1"/>
    <n v="37"/>
    <n v="3"/>
    <n v="111"/>
    <s v="Apple Pay"/>
    <s v="Cancelled"/>
    <s v="DHL"/>
    <d v="2023-10-07T00:00:00"/>
    <m/>
    <d v="2023-10-10T00:00:00"/>
    <s v="Yes"/>
    <x v="0"/>
  </r>
  <r>
    <s v="ORD0030"/>
    <s v="CUST008"/>
    <s v="PROD008"/>
    <x v="0"/>
    <n v="69"/>
    <n v="5"/>
    <n v="345"/>
    <s v="Amazon Pay"/>
    <s v="In Transit"/>
    <s v="Amazon Logistics"/>
    <d v="2023-02-14T00:00:00"/>
    <m/>
    <m/>
    <s v="No"/>
    <x v="4"/>
  </r>
  <r>
    <s v="ORD0031"/>
    <s v="CUST014"/>
    <s v="PROD002"/>
    <x v="0"/>
    <n v="42"/>
    <n v="5"/>
    <n v="210"/>
    <s v="Amazon Pay"/>
    <s v="In Transit"/>
    <s v="UPS"/>
    <d v="2023-03-26T00:00:00"/>
    <m/>
    <m/>
    <s v="No"/>
    <x v="1"/>
  </r>
  <r>
    <s v="ORD0032"/>
    <s v="CUST037"/>
    <s v="PROD009"/>
    <x v="1"/>
    <n v="11"/>
    <n v="5"/>
    <n v="55"/>
    <s v="Debit Card"/>
    <s v="Cancelled"/>
    <s v="FedEx"/>
    <d v="2023-06-15T00:00:00"/>
    <m/>
    <d v="2023-06-22T00:00:00"/>
    <s v="Yes"/>
    <x v="4"/>
  </r>
  <r>
    <s v="ORD0033"/>
    <s v="CUST016"/>
    <s v="PROD005"/>
    <x v="2"/>
    <n v="27"/>
    <n v="2"/>
    <n v="54"/>
    <s v="Apple Pay"/>
    <s v="Delivered"/>
    <s v="USPS"/>
    <d v="2023-05-22T00:00:00"/>
    <d v="2023-05-23T00:00:00"/>
    <m/>
    <s v="No"/>
    <x v="2"/>
  </r>
  <r>
    <s v="ORD0034"/>
    <s v="CUST025"/>
    <s v="PROD015"/>
    <x v="2"/>
    <n v="21"/>
    <n v="1"/>
    <n v="21"/>
    <s v="Amazon Pay"/>
    <s v="In Transit"/>
    <s v="DHL"/>
    <d v="2023-11-20T00:00:00"/>
    <m/>
    <m/>
    <s v="No"/>
    <x v="4"/>
  </r>
  <r>
    <s v="ORD0035"/>
    <s v="CUST032"/>
    <s v="PROD011"/>
    <x v="2"/>
    <n v="172"/>
    <n v="1"/>
    <n v="172"/>
    <s v="PayPal"/>
    <s v="Delivered"/>
    <s v="USPS"/>
    <d v="2023-12-22T00:00:00"/>
    <d v="2023-12-26T00:00:00"/>
    <m/>
    <s v="No"/>
    <x v="3"/>
  </r>
  <r>
    <s v="ORD0036"/>
    <s v="CUST014"/>
    <s v="PROD016"/>
    <x v="0"/>
    <n v="212"/>
    <n v="3"/>
    <n v="636"/>
    <s v="Amazon Pay"/>
    <s v="In Transit"/>
    <s v="UPS"/>
    <d v="2023-07-23T00:00:00"/>
    <m/>
    <m/>
    <s v="No"/>
    <x v="0"/>
  </r>
  <r>
    <s v="ORD0037"/>
    <s v="CUST044"/>
    <s v="PROD002"/>
    <x v="1"/>
    <n v="41"/>
    <n v="4"/>
    <n v="164"/>
    <s v="Credit Card"/>
    <s v="Delivered"/>
    <s v="Amazon Logistics"/>
    <d v="2023-10-17T00:00:00"/>
    <d v="2023-10-22T00:00:00"/>
    <m/>
    <s v="No"/>
    <x v="1"/>
  </r>
  <r>
    <s v="ORD0038"/>
    <s v="CUST028"/>
    <s v="PROD007"/>
    <x v="0"/>
    <n v="32"/>
    <n v="2"/>
    <n v="64"/>
    <s v="Debit Card"/>
    <s v="Cancelled"/>
    <s v="FedEx"/>
    <d v="2023-08-22T00:00:00"/>
    <m/>
    <d v="2023-08-24T00:00:00"/>
    <s v="Yes"/>
    <x v="1"/>
  </r>
  <r>
    <s v="ORD0039"/>
    <s v="CUST024"/>
    <s v="PROD022"/>
    <x v="1"/>
    <n v="66"/>
    <n v="2"/>
    <n v="132"/>
    <s v="Apple Pay"/>
    <s v="In Transit"/>
    <s v="DHL"/>
    <d v="2023-12-02T00:00:00"/>
    <m/>
    <m/>
    <s v="No"/>
    <x v="2"/>
  </r>
  <r>
    <s v="ORD0040"/>
    <s v="CUST006"/>
    <s v="PROD004"/>
    <x v="1"/>
    <n v="62"/>
    <n v="4"/>
    <n v="248"/>
    <s v="Debit Card"/>
    <s v="In Transit"/>
    <s v="UPS"/>
    <d v="2023-12-25T00:00:00"/>
    <m/>
    <m/>
    <s v="No"/>
    <x v="1"/>
  </r>
  <r>
    <s v="ORD0041"/>
    <s v="CUST001"/>
    <s v="PROD011"/>
    <x v="4"/>
    <n v="173"/>
    <n v="4"/>
    <n v="692"/>
    <s v="Apple Pay"/>
    <s v="Delivered"/>
    <s v="UPS"/>
    <d v="2023-09-23T00:00:00"/>
    <d v="2023-09-30T00:00:00"/>
    <m/>
    <s v="No"/>
    <x v="3"/>
  </r>
  <r>
    <s v="ORD0042"/>
    <s v="CUST007"/>
    <s v="PROD004"/>
    <x v="4"/>
    <n v="63"/>
    <n v="3"/>
    <n v="189"/>
    <s v="Apple Pay"/>
    <s v="Delivered"/>
    <s v="UPS"/>
    <d v="2023-07-16T00:00:00"/>
    <d v="2023-07-18T00:00:00"/>
    <m/>
    <s v="No"/>
    <x v="1"/>
  </r>
  <r>
    <s v="ORD0043"/>
    <s v="CUST040"/>
    <s v="PROD021"/>
    <x v="4"/>
    <n v="36"/>
    <n v="3"/>
    <n v="108"/>
    <s v="Debit Card"/>
    <s v="Cancelled"/>
    <s v="USPS"/>
    <d v="2023-02-05T00:00:00"/>
    <m/>
    <d v="2023-02-11T00:00:00"/>
    <s v="Yes"/>
    <x v="0"/>
  </r>
  <r>
    <s v="ORD0044"/>
    <s v="CUST006"/>
    <s v="PROD004"/>
    <x v="3"/>
    <n v="62"/>
    <n v="1"/>
    <n v="62"/>
    <s v="Apple Pay"/>
    <s v="Cancelled"/>
    <s v="Amazon Logistics"/>
    <d v="2023-12-18T00:00:00"/>
    <m/>
    <d v="2023-12-23T00:00:00"/>
    <s v="Yes"/>
    <x v="1"/>
  </r>
  <r>
    <s v="ORD0045"/>
    <s v="CUST042"/>
    <s v="PROD003"/>
    <x v="3"/>
    <n v="137"/>
    <n v="5"/>
    <n v="685"/>
    <s v="Amazon Pay"/>
    <s v="Cancelled"/>
    <s v="FedEx"/>
    <d v="2023-06-11T00:00:00"/>
    <m/>
    <d v="2023-06-14T00:00:00"/>
    <s v="Yes"/>
    <x v="0"/>
  </r>
  <r>
    <s v="ORD0046"/>
    <s v="CUST039"/>
    <s v="PROD017"/>
    <x v="0"/>
    <n v="73"/>
    <n v="4"/>
    <n v="292"/>
    <s v="Credit Card"/>
    <s v="Delivered"/>
    <s v="Amazon Logistics"/>
    <d v="2023-12-04T00:00:00"/>
    <d v="2023-12-08T00:00:00"/>
    <m/>
    <s v="No"/>
    <x v="3"/>
  </r>
  <r>
    <s v="ORD0047"/>
    <s v="CUST041"/>
    <s v="PROD020"/>
    <x v="0"/>
    <n v="104"/>
    <n v="1"/>
    <n v="104"/>
    <s v="PayPal"/>
    <s v="Delivered"/>
    <s v="Amazon Logistics"/>
    <d v="2023-07-17T00:00:00"/>
    <d v="2023-07-19T00:00:00"/>
    <m/>
    <s v="No"/>
    <x v="3"/>
  </r>
  <r>
    <s v="ORD0048"/>
    <s v="CUST044"/>
    <s v="PROD006"/>
    <x v="1"/>
    <n v="97"/>
    <n v="1"/>
    <n v="97"/>
    <s v="Amazon Pay"/>
    <s v="Delivered"/>
    <s v="FedEx"/>
    <d v="2023-10-19T00:00:00"/>
    <d v="2023-10-24T00:00:00"/>
    <m/>
    <s v="No"/>
    <x v="2"/>
  </r>
  <r>
    <s v="ORD0049"/>
    <s v="CUST026"/>
    <s v="PROD017"/>
    <x v="2"/>
    <n v="73"/>
    <n v="5"/>
    <n v="365"/>
    <s v="Apple Pay"/>
    <s v="In Transit"/>
    <s v="Amazon Logistics"/>
    <d v="2023-05-15T00:00:00"/>
    <m/>
    <m/>
    <s v="No"/>
    <x v="3"/>
  </r>
  <r>
    <s v="ORD0050"/>
    <s v="CUST040"/>
    <s v="PROD005"/>
    <x v="1"/>
    <n v="27"/>
    <n v="3"/>
    <n v="81"/>
    <s v="Amazon Pay"/>
    <s v="Delivered"/>
    <s v="UPS"/>
    <d v="2023-02-12T00:00:00"/>
    <d v="2023-02-19T00:00:00"/>
    <m/>
    <s v="No"/>
    <x v="2"/>
  </r>
  <r>
    <s v="ORD0051"/>
    <s v="CUST041"/>
    <s v="PROD021"/>
    <x v="0"/>
    <n v="37"/>
    <n v="1"/>
    <n v="37"/>
    <s v="Apple Pay"/>
    <s v="In Transit"/>
    <s v="UPS"/>
    <d v="2023-10-02T00:00:00"/>
    <m/>
    <m/>
    <s v="No"/>
    <x v="0"/>
  </r>
  <r>
    <s v="ORD0052"/>
    <s v="CUST008"/>
    <s v="PROD015"/>
    <x v="0"/>
    <n v="22"/>
    <n v="1"/>
    <n v="22"/>
    <s v="Debit Card"/>
    <s v="Delivered"/>
    <s v="FedEx"/>
    <d v="2023-01-30T00:00:00"/>
    <d v="2023-02-01T00:00:00"/>
    <m/>
    <s v="No"/>
    <x v="4"/>
  </r>
  <r>
    <s v="ORD0053"/>
    <s v="CUST011"/>
    <s v="PROD016"/>
    <x v="3"/>
    <n v="218"/>
    <n v="5"/>
    <n v="1090"/>
    <s v="PayPal"/>
    <s v="Delivered"/>
    <s v="DHL"/>
    <d v="2023-12-29T00:00:00"/>
    <d v="2024-01-01T00:00:00"/>
    <m/>
    <s v="No"/>
    <x v="0"/>
  </r>
  <r>
    <s v="ORD0054"/>
    <s v="CUST018"/>
    <s v="PROD004"/>
    <x v="0"/>
    <n v="64"/>
    <n v="1"/>
    <n v="64"/>
    <s v="Apple Pay"/>
    <s v="Cancelled"/>
    <s v="USPS"/>
    <d v="2023-03-06T00:00:00"/>
    <m/>
    <d v="2023-03-13T00:00:00"/>
    <s v="Yes"/>
    <x v="1"/>
  </r>
  <r>
    <s v="ORD0055"/>
    <s v="CUST037"/>
    <s v="PROD021"/>
    <x v="3"/>
    <n v="36"/>
    <n v="4"/>
    <n v="144"/>
    <s v="PayPal"/>
    <s v="Delivered"/>
    <s v="Amazon Logistics"/>
    <d v="2023-02-02T00:00:00"/>
    <d v="2023-02-06T00:00:00"/>
    <m/>
    <s v="No"/>
    <x v="0"/>
  </r>
  <r>
    <s v="ORD0056"/>
    <s v="CUST017"/>
    <s v="PROD004"/>
    <x v="4"/>
    <n v="65"/>
    <n v="1"/>
    <n v="65"/>
    <s v="Amazon Pay"/>
    <s v="Delivered"/>
    <s v="FedEx"/>
    <d v="2023-10-18T00:00:00"/>
    <d v="2023-10-21T00:00:00"/>
    <m/>
    <s v="No"/>
    <x v="1"/>
  </r>
  <r>
    <s v="ORD0057"/>
    <s v="CUST025"/>
    <s v="PROD005"/>
    <x v="3"/>
    <n v="26"/>
    <n v="1"/>
    <n v="26"/>
    <s v="Apple Pay"/>
    <s v="Delivered"/>
    <s v="DHL"/>
    <d v="2023-01-07T00:00:00"/>
    <d v="2023-01-09T00:00:00"/>
    <m/>
    <s v="No"/>
    <x v="2"/>
  </r>
  <r>
    <s v="ORD0058"/>
    <s v="CUST021"/>
    <s v="PROD009"/>
    <x v="0"/>
    <n v="11"/>
    <n v="5"/>
    <n v="55"/>
    <s v="Credit Card"/>
    <s v="In Transit"/>
    <s v="FedEx"/>
    <d v="2023-05-08T00:00:00"/>
    <m/>
    <m/>
    <s v="No"/>
    <x v="4"/>
  </r>
  <r>
    <s v="ORD0059"/>
    <s v="CUST003"/>
    <s v="PROD013"/>
    <x v="0"/>
    <n v="195"/>
    <n v="4"/>
    <n v="780"/>
    <s v="PayPal"/>
    <s v="Cancelled"/>
    <s v="FedEx"/>
    <d v="2023-04-02T00:00:00"/>
    <m/>
    <d v="2023-04-05T00:00:00"/>
    <s v="Yes"/>
    <x v="0"/>
  </r>
  <r>
    <s v="ORD0060"/>
    <s v="CUST019"/>
    <s v="PROD019"/>
    <x v="4"/>
    <n v="44"/>
    <n v="5"/>
    <n v="220"/>
    <s v="Apple Pay"/>
    <s v="Cancelled"/>
    <s v="USPS"/>
    <d v="2023-10-11T00:00:00"/>
    <m/>
    <d v="2023-10-12T00:00:00"/>
    <s v="Yes"/>
    <x v="2"/>
  </r>
  <r>
    <s v="ORD0061"/>
    <s v="CUST035"/>
    <s v="PROD008"/>
    <x v="1"/>
    <n v="69"/>
    <n v="4"/>
    <n v="276"/>
    <s v="Debit Card"/>
    <s v="In Transit"/>
    <s v="DHL"/>
    <d v="2023-09-10T00:00:00"/>
    <m/>
    <m/>
    <s v="No"/>
    <x v="4"/>
  </r>
  <r>
    <s v="ORD0062"/>
    <s v="CUST022"/>
    <s v="PROD001"/>
    <x v="0"/>
    <n v="815"/>
    <n v="4"/>
    <n v="3260"/>
    <s v="Credit Card"/>
    <s v="Delivered"/>
    <s v="USPS"/>
    <d v="2023-11-22T00:00:00"/>
    <d v="2023-11-29T00:00:00"/>
    <m/>
    <s v="No"/>
    <x v="3"/>
  </r>
  <r>
    <s v="ORD0063"/>
    <s v="CUST004"/>
    <s v="PROD005"/>
    <x v="1"/>
    <n v="27"/>
    <n v="1"/>
    <n v="27"/>
    <s v="Debit Card"/>
    <s v="In Transit"/>
    <s v="Amazon Logistics"/>
    <d v="2023-05-02T00:00:00"/>
    <m/>
    <m/>
    <s v="No"/>
    <x v="2"/>
  </r>
  <r>
    <s v="ORD0064"/>
    <s v="CUST048"/>
    <s v="PROD003"/>
    <x v="4"/>
    <n v="139"/>
    <n v="5"/>
    <n v="695"/>
    <s v="Apple Pay"/>
    <s v="Delivered"/>
    <s v="USPS"/>
    <d v="2023-12-25T00:00:00"/>
    <d v="2023-12-29T00:00:00"/>
    <m/>
    <s v="No"/>
    <x v="0"/>
  </r>
  <r>
    <s v="ORD0065"/>
    <s v="CUST009"/>
    <s v="PROD008"/>
    <x v="2"/>
    <n v="69"/>
    <n v="3"/>
    <n v="207"/>
    <s v="PayPal"/>
    <s v="Cancelled"/>
    <s v="Amazon Logistics"/>
    <d v="2023-10-18T00:00:00"/>
    <m/>
    <d v="2023-10-20T00:00:00"/>
    <s v="Yes"/>
    <x v="4"/>
  </r>
  <r>
    <s v="ORD0066"/>
    <s v="CUST009"/>
    <s v="PROD019"/>
    <x v="4"/>
    <n v="42"/>
    <n v="1"/>
    <n v="42"/>
    <s v="Apple Pay"/>
    <s v="Cancelled"/>
    <s v="DHL"/>
    <d v="2023-05-20T00:00:00"/>
    <m/>
    <d v="2023-05-21T00:00:00"/>
    <s v="Yes"/>
    <x v="2"/>
  </r>
  <r>
    <s v="ORD0067"/>
    <s v="CUST050"/>
    <s v="PROD007"/>
    <x v="0"/>
    <n v="31"/>
    <n v="4"/>
    <n v="124"/>
    <s v="Credit Card"/>
    <s v="Delivered"/>
    <s v="UPS"/>
    <d v="2023-07-28T00:00:00"/>
    <d v="2023-07-30T00:00:00"/>
    <m/>
    <s v="No"/>
    <x v="1"/>
  </r>
  <r>
    <s v="ORD0068"/>
    <s v="CUST045"/>
    <s v="PROD020"/>
    <x v="4"/>
    <n v="104"/>
    <n v="3"/>
    <n v="312"/>
    <s v="Credit Card"/>
    <s v="In Transit"/>
    <s v="UPS"/>
    <d v="2023-12-18T00:00:00"/>
    <m/>
    <m/>
    <s v="No"/>
    <x v="3"/>
  </r>
  <r>
    <s v="ORD0069"/>
    <s v="CUST044"/>
    <s v="PROD010"/>
    <x v="1"/>
    <n v="58"/>
    <n v="2"/>
    <n v="116"/>
    <s v="Apple Pay"/>
    <s v="Cancelled"/>
    <s v="USPS"/>
    <d v="2023-07-02T00:00:00"/>
    <m/>
    <d v="2023-07-07T00:00:00"/>
    <s v="Yes"/>
    <x v="2"/>
  </r>
  <r>
    <s v="ORD0070"/>
    <s v="CUST009"/>
    <s v="PROD004"/>
    <x v="4"/>
    <n v="62"/>
    <n v="2"/>
    <n v="124"/>
    <s v="Debit Card"/>
    <s v="Cancelled"/>
    <s v="DHL"/>
    <d v="2023-10-09T00:00:00"/>
    <m/>
    <d v="2023-10-10T00:00:00"/>
    <s v="Yes"/>
    <x v="1"/>
  </r>
  <r>
    <s v="ORD0071"/>
    <s v="CUST006"/>
    <s v="PROD019"/>
    <x v="1"/>
    <n v="43"/>
    <n v="1"/>
    <n v="43"/>
    <s v="Credit Card"/>
    <s v="Delivered"/>
    <s v="Amazon Logistics"/>
    <d v="2023-12-18T00:00:00"/>
    <d v="2023-12-25T00:00:00"/>
    <m/>
    <s v="No"/>
    <x v="2"/>
  </r>
  <r>
    <s v="ORD0072"/>
    <s v="CUST022"/>
    <s v="PROD004"/>
    <x v="1"/>
    <n v="62"/>
    <n v="4"/>
    <n v="248"/>
    <s v="Debit Card"/>
    <s v="In Transit"/>
    <s v="Amazon Logistics"/>
    <d v="2023-03-07T00:00:00"/>
    <m/>
    <m/>
    <s v="No"/>
    <x v="1"/>
  </r>
  <r>
    <s v="ORD0073"/>
    <s v="CUST028"/>
    <s v="PROD006"/>
    <x v="0"/>
    <n v="95"/>
    <n v="2"/>
    <n v="190"/>
    <s v="PayPal"/>
    <s v="Cancelled"/>
    <s v="UPS"/>
    <d v="2023-07-22T00:00:00"/>
    <m/>
    <d v="2023-07-25T00:00:00"/>
    <s v="Yes"/>
    <x v="2"/>
  </r>
  <r>
    <s v="ORD0074"/>
    <s v="CUST016"/>
    <s v="PROD021"/>
    <x v="3"/>
    <n v="36"/>
    <n v="4"/>
    <n v="144"/>
    <s v="Apple Pay"/>
    <s v="Delivered"/>
    <s v="FedEx"/>
    <d v="2023-01-18T00:00:00"/>
    <d v="2023-01-24T00:00:00"/>
    <m/>
    <s v="No"/>
    <x v="0"/>
  </r>
  <r>
    <s v="ORD0075"/>
    <s v="CUST042"/>
    <s v="PROD017"/>
    <x v="1"/>
    <n v="73"/>
    <n v="5"/>
    <n v="365"/>
    <s v="Apple Pay"/>
    <s v="In Transit"/>
    <s v="DHL"/>
    <d v="2023-05-24T00:00:00"/>
    <m/>
    <m/>
    <s v="No"/>
    <x v="3"/>
  </r>
  <r>
    <s v="ORD0076"/>
    <s v="CUST023"/>
    <s v="PROD019"/>
    <x v="0"/>
    <n v="43"/>
    <n v="4"/>
    <n v="172"/>
    <s v="Debit Card"/>
    <s v="Delivered"/>
    <s v="DHL"/>
    <d v="2023-09-03T00:00:00"/>
    <d v="2023-09-09T00:00:00"/>
    <m/>
    <s v="No"/>
    <x v="2"/>
  </r>
  <r>
    <s v="ORD0077"/>
    <s v="CUST004"/>
    <s v="PROD016"/>
    <x v="4"/>
    <n v="214"/>
    <n v="5"/>
    <n v="1070"/>
    <s v="Debit Card"/>
    <s v="Delivered"/>
    <s v="UPS"/>
    <d v="2023-11-02T00:00:00"/>
    <d v="2023-11-04T00:00:00"/>
    <m/>
    <s v="No"/>
    <x v="0"/>
  </r>
  <r>
    <s v="ORD0078"/>
    <s v="CUST048"/>
    <s v="PROD002"/>
    <x v="3"/>
    <n v="42"/>
    <n v="2"/>
    <n v="84"/>
    <s v="Apple Pay"/>
    <s v="Cancelled"/>
    <s v="UPS"/>
    <d v="2023-12-03T00:00:00"/>
    <m/>
    <d v="2023-12-06T00:00:00"/>
    <s v="Yes"/>
    <x v="1"/>
  </r>
  <r>
    <s v="ORD0079"/>
    <s v="CUST048"/>
    <s v="PROD012"/>
    <x v="0"/>
    <n v="46"/>
    <n v="1"/>
    <n v="46"/>
    <s v="Amazon Pay"/>
    <s v="In Transit"/>
    <s v="UPS"/>
    <d v="2023-04-01T00:00:00"/>
    <m/>
    <m/>
    <s v="No"/>
    <x v="0"/>
  </r>
  <r>
    <s v="ORD0080"/>
    <s v="CUST032"/>
    <s v="PROD018"/>
    <x v="1"/>
    <n v="95"/>
    <n v="4"/>
    <n v="380"/>
    <s v="Credit Card"/>
    <s v="Delivered"/>
    <s v="UPS"/>
    <d v="2023-10-16T00:00:00"/>
    <d v="2023-10-19T00:00:00"/>
    <m/>
    <s v="No"/>
    <x v="1"/>
  </r>
  <r>
    <s v="ORD0081"/>
    <s v="CUST001"/>
    <s v="PROD011"/>
    <x v="4"/>
    <n v="174"/>
    <n v="2"/>
    <n v="348"/>
    <s v="PayPal"/>
    <s v="In Transit"/>
    <s v="UPS"/>
    <d v="2023-11-05T00:00:00"/>
    <m/>
    <m/>
    <s v="No"/>
    <x v="3"/>
  </r>
  <r>
    <s v="ORD0082"/>
    <s v="CUST046"/>
    <s v="PROD005"/>
    <x v="0"/>
    <n v="27"/>
    <n v="5"/>
    <n v="135"/>
    <s v="Credit Card"/>
    <s v="Cancelled"/>
    <s v="Amazon Logistics"/>
    <d v="2023-06-15T00:00:00"/>
    <m/>
    <d v="2023-06-18T00:00:00"/>
    <s v="Yes"/>
    <x v="2"/>
  </r>
  <r>
    <s v="ORD0083"/>
    <s v="CUST021"/>
    <s v="PROD005"/>
    <x v="2"/>
    <n v="27"/>
    <n v="4"/>
    <n v="108"/>
    <s v="PayPal"/>
    <s v="Delivered"/>
    <s v="USPS"/>
    <d v="2023-10-28T00:00:00"/>
    <d v="2023-10-30T00:00:00"/>
    <m/>
    <s v="No"/>
    <x v="2"/>
  </r>
  <r>
    <s v="ORD0084"/>
    <s v="CUST015"/>
    <s v="PROD022"/>
    <x v="2"/>
    <n v="65"/>
    <n v="2"/>
    <n v="130"/>
    <s v="PayPal"/>
    <s v="In Transit"/>
    <s v="DHL"/>
    <d v="2023-12-22T00:00:00"/>
    <m/>
    <m/>
    <s v="No"/>
    <x v="2"/>
  </r>
  <r>
    <s v="ORD0085"/>
    <s v="CUST045"/>
    <s v="PROD019"/>
    <x v="1"/>
    <n v="43"/>
    <n v="5"/>
    <n v="215"/>
    <s v="Debit Card"/>
    <s v="In Transit"/>
    <s v="DHL"/>
    <d v="2023-03-07T00:00:00"/>
    <m/>
    <m/>
    <s v="No"/>
    <x v="2"/>
  </r>
  <r>
    <s v="ORD0086"/>
    <s v="CUST007"/>
    <s v="PROD016"/>
    <x v="4"/>
    <n v="210"/>
    <n v="1"/>
    <n v="210"/>
    <s v="PayPal"/>
    <s v="In Transit"/>
    <s v="UPS"/>
    <d v="2023-11-10T00:00:00"/>
    <m/>
    <m/>
    <s v="No"/>
    <x v="0"/>
  </r>
  <r>
    <s v="ORD0087"/>
    <s v="CUST043"/>
    <s v="PROD021"/>
    <x v="2"/>
    <n v="37"/>
    <n v="3"/>
    <n v="111"/>
    <s v="Credit Card"/>
    <s v="In Transit"/>
    <s v="UPS"/>
    <d v="2023-11-22T00:00:00"/>
    <m/>
    <m/>
    <s v="No"/>
    <x v="0"/>
  </r>
  <r>
    <s v="ORD0088"/>
    <s v="CUST007"/>
    <s v="PROD001"/>
    <x v="2"/>
    <n v="788"/>
    <n v="4"/>
    <n v="3152"/>
    <s v="Debit Card"/>
    <s v="In Transit"/>
    <s v="Amazon Logistics"/>
    <d v="2023-05-08T00:00:00"/>
    <m/>
    <m/>
    <s v="No"/>
    <x v="3"/>
  </r>
  <r>
    <s v="ORD0089"/>
    <s v="CUST007"/>
    <s v="PROD016"/>
    <x v="4"/>
    <n v="217"/>
    <n v="5"/>
    <n v="1085"/>
    <s v="Debit Card"/>
    <s v="In Transit"/>
    <s v="FedEx"/>
    <d v="2023-07-13T00:00:00"/>
    <m/>
    <m/>
    <s v="No"/>
    <x v="0"/>
  </r>
  <r>
    <s v="ORD0090"/>
    <s v="CUST007"/>
    <s v="PROD003"/>
    <x v="4"/>
    <n v="138"/>
    <n v="4"/>
    <n v="552"/>
    <s v="Credit Card"/>
    <s v="In Transit"/>
    <s v="FedEx"/>
    <d v="2023-01-18T00:00:00"/>
    <m/>
    <m/>
    <s v="No"/>
    <x v="0"/>
  </r>
  <r>
    <s v="ORD0091"/>
    <s v="CUST031"/>
    <s v="PROD001"/>
    <x v="3"/>
    <n v="803"/>
    <n v="2"/>
    <n v="1606"/>
    <s v="Apple Pay"/>
    <s v="Delivered"/>
    <s v="FedEx"/>
    <d v="2023-06-23T00:00:00"/>
    <d v="2023-06-29T00:00:00"/>
    <m/>
    <s v="No"/>
    <x v="3"/>
  </r>
  <r>
    <s v="ORD0092"/>
    <s v="CUST013"/>
    <s v="PROD014"/>
    <x v="0"/>
    <n v="248"/>
    <n v="5"/>
    <n v="1240"/>
    <s v="PayPal"/>
    <s v="Cancelled"/>
    <s v="UPS"/>
    <d v="2023-02-21T00:00:00"/>
    <m/>
    <d v="2023-02-25T00:00:00"/>
    <s v="Yes"/>
    <x v="3"/>
  </r>
  <r>
    <s v="ORD0093"/>
    <s v="CUST036"/>
    <s v="PROD016"/>
    <x v="1"/>
    <n v="210"/>
    <n v="3"/>
    <n v="630"/>
    <s v="Apple Pay"/>
    <s v="Delivered"/>
    <s v="DHL"/>
    <d v="2023-02-19T00:00:00"/>
    <d v="2023-02-21T00:00:00"/>
    <m/>
    <s v="No"/>
    <x v="0"/>
  </r>
  <r>
    <s v="ORD0094"/>
    <s v="CUST013"/>
    <s v="PROD004"/>
    <x v="0"/>
    <n v="62"/>
    <n v="2"/>
    <n v="124"/>
    <s v="Credit Card"/>
    <s v="Cancelled"/>
    <s v="FedEx"/>
    <d v="2023-12-05T00:00:00"/>
    <m/>
    <d v="2023-12-12T00:00:00"/>
    <s v="Yes"/>
    <x v="1"/>
  </r>
  <r>
    <s v="ORD0095"/>
    <s v="CUST043"/>
    <s v="PROD009"/>
    <x v="2"/>
    <n v="11"/>
    <n v="5"/>
    <n v="55"/>
    <s v="Debit Card"/>
    <s v="Cancelled"/>
    <s v="Amazon Logistics"/>
    <d v="2023-06-07T00:00:00"/>
    <m/>
    <d v="2023-06-12T00:00:00"/>
    <s v="Yes"/>
    <x v="4"/>
  </r>
  <r>
    <s v="ORD0096"/>
    <s v="CUST017"/>
    <s v="PROD015"/>
    <x v="0"/>
    <n v="21"/>
    <n v="2"/>
    <n v="42"/>
    <s v="Amazon Pay"/>
    <s v="Delivered"/>
    <s v="UPS"/>
    <d v="2023-07-09T00:00:00"/>
    <d v="2023-07-12T00:00:00"/>
    <m/>
    <s v="No"/>
    <x v="4"/>
  </r>
  <r>
    <s v="ORD0097"/>
    <s v="CUST023"/>
    <s v="PROD018"/>
    <x v="4"/>
    <n v="95"/>
    <n v="5"/>
    <n v="475"/>
    <s v="Amazon Pay"/>
    <s v="Delivered"/>
    <s v="Amazon Logistics"/>
    <d v="2023-12-23T00:00:00"/>
    <d v="2023-12-26T00:00:00"/>
    <m/>
    <s v="No"/>
    <x v="1"/>
  </r>
  <r>
    <s v="ORD0098"/>
    <s v="CUST044"/>
    <s v="PROD016"/>
    <x v="2"/>
    <n v="215"/>
    <n v="2"/>
    <n v="430"/>
    <s v="PayPal"/>
    <s v="Delivered"/>
    <s v="Amazon Logistics"/>
    <d v="2023-09-25T00:00:00"/>
    <d v="2023-09-30T00:00:00"/>
    <m/>
    <s v="No"/>
    <x v="0"/>
  </r>
  <r>
    <s v="ORD0099"/>
    <s v="CUST034"/>
    <s v="PROD019"/>
    <x v="4"/>
    <n v="43"/>
    <n v="5"/>
    <n v="215"/>
    <s v="Credit Card"/>
    <s v="Cancelled"/>
    <s v="UPS"/>
    <d v="2023-01-18T00:00:00"/>
    <m/>
    <d v="2023-01-24T00:00:00"/>
    <s v="Yes"/>
    <x v="2"/>
  </r>
  <r>
    <s v="ORD0100"/>
    <s v="CUST009"/>
    <s v="PROD002"/>
    <x v="4"/>
    <n v="42"/>
    <n v="4"/>
    <n v="168"/>
    <s v="Debit Card"/>
    <s v="In Transit"/>
    <s v="DHL"/>
    <d v="2023-03-27T00:00:00"/>
    <m/>
    <m/>
    <s v="No"/>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d v="2023-12-31T00:00:00"/>
    <m/>
    <d v="2024-01-02T00:00:00"/>
    <s v="Yes"/>
    <x v="0"/>
    <x v="0"/>
  </r>
  <r>
    <x v="1"/>
    <s v="CUST029"/>
    <s v="PROD018"/>
    <x v="1"/>
    <n v="96"/>
    <n v="4"/>
    <n v="384"/>
    <x v="1"/>
    <x v="1"/>
    <s v="DHL"/>
    <d v="2023-02-22T00:00:00"/>
    <d v="2023-02-24T00:00:00"/>
    <m/>
    <s v="No"/>
    <x v="1"/>
    <x v="1"/>
  </r>
  <r>
    <x v="2"/>
    <s v="CUST021"/>
    <s v="PROD013"/>
    <x v="2"/>
    <n v="194"/>
    <n v="4"/>
    <n v="776"/>
    <x v="1"/>
    <x v="2"/>
    <s v="USPS"/>
    <d v="2023-10-11T00:00:00"/>
    <m/>
    <m/>
    <s v="No"/>
    <x v="0"/>
    <x v="0"/>
  </r>
  <r>
    <x v="3"/>
    <s v="CUST044"/>
    <s v="PROD013"/>
    <x v="0"/>
    <n v="196"/>
    <n v="3"/>
    <n v="588"/>
    <x v="2"/>
    <x v="0"/>
    <s v="UPS"/>
    <d v="2023-05-05T00:00:00"/>
    <m/>
    <d v="2023-05-11T00:00:00"/>
    <s v="Yes"/>
    <x v="0"/>
    <x v="0"/>
  </r>
  <r>
    <x v="4"/>
    <s v="CUST027"/>
    <s v="PROD010"/>
    <x v="0"/>
    <n v="59"/>
    <n v="1"/>
    <n v="59"/>
    <x v="2"/>
    <x v="1"/>
    <s v="Amazon Logistics"/>
    <d v="2023-02-02T00:00:00"/>
    <d v="2023-02-05T00:00:00"/>
    <m/>
    <s v="No"/>
    <x v="2"/>
    <x v="2"/>
  </r>
  <r>
    <x v="5"/>
    <s v="CUST009"/>
    <s v="PROD010"/>
    <x v="0"/>
    <n v="58"/>
    <n v="4"/>
    <n v="232"/>
    <x v="3"/>
    <x v="0"/>
    <s v="DHL"/>
    <d v="2023-11-01T00:00:00"/>
    <m/>
    <d v="2023-11-02T00:00:00"/>
    <s v="Yes"/>
    <x v="2"/>
    <x v="0"/>
  </r>
  <r>
    <x v="6"/>
    <s v="CUST042"/>
    <s v="PROD020"/>
    <x v="3"/>
    <n v="105"/>
    <n v="3"/>
    <n v="315"/>
    <x v="4"/>
    <x v="0"/>
    <s v="DHL"/>
    <d v="2023-08-14T00:00:00"/>
    <m/>
    <d v="2023-08-18T00:00:00"/>
    <s v="Yes"/>
    <x v="3"/>
    <x v="0"/>
  </r>
  <r>
    <x v="7"/>
    <s v="CUST019"/>
    <s v="PROD021"/>
    <x v="4"/>
    <n v="37"/>
    <n v="5"/>
    <n v="185"/>
    <x v="2"/>
    <x v="0"/>
    <s v="DHL"/>
    <d v="2023-04-01T00:00:00"/>
    <m/>
    <d v="2023-04-06T00:00:00"/>
    <s v="Yes"/>
    <x v="0"/>
    <x v="0"/>
  </r>
  <r>
    <x v="8"/>
    <s v="CUST013"/>
    <s v="PROD019"/>
    <x v="3"/>
    <n v="44"/>
    <n v="2"/>
    <n v="88"/>
    <x v="1"/>
    <x v="2"/>
    <s v="Amazon Logistics"/>
    <d v="2023-07-21T00:00:00"/>
    <m/>
    <m/>
    <s v="No"/>
    <x v="2"/>
    <x v="0"/>
  </r>
  <r>
    <x v="9"/>
    <s v="CUST019"/>
    <s v="PROD003"/>
    <x v="2"/>
    <n v="141"/>
    <n v="4"/>
    <n v="564"/>
    <x v="4"/>
    <x v="2"/>
    <s v="DHL"/>
    <d v="2023-12-29T00:00:00"/>
    <m/>
    <m/>
    <s v="No"/>
    <x v="0"/>
    <x v="0"/>
  </r>
  <r>
    <x v="10"/>
    <s v="CUST046"/>
    <s v="PROD014"/>
    <x v="2"/>
    <n v="249"/>
    <n v="1"/>
    <n v="249"/>
    <x v="3"/>
    <x v="0"/>
    <s v="USPS"/>
    <d v="2023-05-04T00:00:00"/>
    <m/>
    <d v="2023-05-08T00:00:00"/>
    <s v="Yes"/>
    <x v="3"/>
    <x v="0"/>
  </r>
  <r>
    <x v="11"/>
    <s v="CUST045"/>
    <s v="PROD014"/>
    <x v="3"/>
    <n v="247"/>
    <n v="3"/>
    <n v="741"/>
    <x v="3"/>
    <x v="2"/>
    <s v="FedEx"/>
    <d v="2023-07-25T00:00:00"/>
    <m/>
    <m/>
    <s v="No"/>
    <x v="3"/>
    <x v="0"/>
  </r>
  <r>
    <x v="12"/>
    <s v="CUST023"/>
    <s v="PROD006"/>
    <x v="3"/>
    <n v="96"/>
    <n v="1"/>
    <n v="96"/>
    <x v="0"/>
    <x v="0"/>
    <s v="Amazon Logistics"/>
    <d v="2023-02-25T00:00:00"/>
    <m/>
    <d v="2023-02-28T00:00:00"/>
    <s v="Yes"/>
    <x v="2"/>
    <x v="0"/>
  </r>
  <r>
    <x v="13"/>
    <s v="CUST033"/>
    <s v="PROD017"/>
    <x v="4"/>
    <n v="74"/>
    <n v="5"/>
    <n v="370"/>
    <x v="0"/>
    <x v="0"/>
    <s v="Amazon Logistics"/>
    <d v="2023-02-24T00:00:00"/>
    <m/>
    <d v="2023-02-25T00:00:00"/>
    <s v="Yes"/>
    <x v="3"/>
    <x v="0"/>
  </r>
  <r>
    <x v="14"/>
    <s v="CUST033"/>
    <s v="PROD005"/>
    <x v="2"/>
    <n v="27"/>
    <n v="1"/>
    <n v="27"/>
    <x v="1"/>
    <x v="0"/>
    <s v="Amazon Logistics"/>
    <d v="2023-08-26T00:00:00"/>
    <m/>
    <d v="2023-09-02T00:00:00"/>
    <s v="Yes"/>
    <x v="2"/>
    <x v="0"/>
  </r>
  <r>
    <x v="15"/>
    <s v="CUST047"/>
    <s v="PROD005"/>
    <x v="2"/>
    <n v="27"/>
    <n v="3"/>
    <n v="81"/>
    <x v="4"/>
    <x v="2"/>
    <s v="Amazon Logistics"/>
    <d v="2023-02-13T00:00:00"/>
    <m/>
    <m/>
    <s v="No"/>
    <x v="2"/>
    <x v="0"/>
  </r>
  <r>
    <x v="16"/>
    <s v="CUST045"/>
    <s v="PROD015"/>
    <x v="1"/>
    <n v="21"/>
    <n v="3"/>
    <n v="63"/>
    <x v="1"/>
    <x v="1"/>
    <s v="DHL"/>
    <d v="2023-06-28T00:00:00"/>
    <d v="2023-07-01T00:00:00"/>
    <m/>
    <s v="No"/>
    <x v="4"/>
    <x v="2"/>
  </r>
  <r>
    <x v="17"/>
    <s v="CUST011"/>
    <s v="PROD008"/>
    <x v="4"/>
    <n v="70"/>
    <n v="5"/>
    <n v="350"/>
    <x v="2"/>
    <x v="2"/>
    <s v="Amazon Logistics"/>
    <d v="2023-11-28T00:00:00"/>
    <m/>
    <m/>
    <s v="No"/>
    <x v="4"/>
    <x v="0"/>
  </r>
  <r>
    <x v="18"/>
    <s v="CUST041"/>
    <s v="PROD006"/>
    <x v="2"/>
    <n v="94"/>
    <n v="4"/>
    <n v="376"/>
    <x v="1"/>
    <x v="2"/>
    <s v="USPS"/>
    <d v="2023-08-25T00:00:00"/>
    <m/>
    <m/>
    <s v="No"/>
    <x v="2"/>
    <x v="0"/>
  </r>
  <r>
    <x v="19"/>
    <s v="CUST025"/>
    <s v="PROD001"/>
    <x v="0"/>
    <n v="813"/>
    <n v="2"/>
    <n v="1626"/>
    <x v="1"/>
    <x v="2"/>
    <s v="FedEx"/>
    <d v="2023-04-12T00:00:00"/>
    <m/>
    <m/>
    <s v="No"/>
    <x v="3"/>
    <x v="0"/>
  </r>
  <r>
    <x v="20"/>
    <s v="CUST013"/>
    <s v="PROD015"/>
    <x v="3"/>
    <n v="21"/>
    <n v="4"/>
    <n v="84"/>
    <x v="2"/>
    <x v="2"/>
    <s v="Amazon Logistics"/>
    <d v="2023-10-02T00:00:00"/>
    <m/>
    <m/>
    <s v="No"/>
    <x v="4"/>
    <x v="0"/>
  </r>
  <r>
    <x v="21"/>
    <s v="CUST023"/>
    <s v="PROD012"/>
    <x v="4"/>
    <n v="46"/>
    <n v="5"/>
    <n v="230"/>
    <x v="2"/>
    <x v="2"/>
    <s v="USPS"/>
    <d v="2023-11-09T00:00:00"/>
    <m/>
    <m/>
    <s v="No"/>
    <x v="0"/>
    <x v="0"/>
  </r>
  <r>
    <x v="22"/>
    <s v="CUST016"/>
    <s v="PROD010"/>
    <x v="4"/>
    <n v="58"/>
    <n v="3"/>
    <n v="174"/>
    <x v="3"/>
    <x v="0"/>
    <s v="Amazon Logistics"/>
    <d v="2023-02-13T00:00:00"/>
    <m/>
    <d v="2023-02-14T00:00:00"/>
    <s v="Yes"/>
    <x v="2"/>
    <x v="0"/>
  </r>
  <r>
    <x v="23"/>
    <s v="CUST028"/>
    <s v="PROD006"/>
    <x v="4"/>
    <n v="96"/>
    <n v="5"/>
    <n v="480"/>
    <x v="3"/>
    <x v="1"/>
    <s v="Amazon Logistics"/>
    <d v="2023-11-02T00:00:00"/>
    <d v="2023-11-05T00:00:00"/>
    <m/>
    <s v="No"/>
    <x v="2"/>
    <x v="2"/>
  </r>
  <r>
    <x v="24"/>
    <s v="CUST040"/>
    <s v="PROD002"/>
    <x v="2"/>
    <n v="43"/>
    <n v="1"/>
    <n v="43"/>
    <x v="4"/>
    <x v="1"/>
    <s v="Amazon Logistics"/>
    <d v="2023-05-28T00:00:00"/>
    <d v="2023-05-30T00:00:00"/>
    <m/>
    <s v="No"/>
    <x v="1"/>
    <x v="1"/>
  </r>
  <r>
    <x v="25"/>
    <s v="CUST027"/>
    <s v="PROD022"/>
    <x v="2"/>
    <n v="64"/>
    <n v="4"/>
    <n v="256"/>
    <x v="4"/>
    <x v="1"/>
    <s v="USPS"/>
    <d v="2023-10-15T00:00:00"/>
    <d v="2023-10-21T00:00:00"/>
    <m/>
    <s v="No"/>
    <x v="2"/>
    <x v="3"/>
  </r>
  <r>
    <x v="26"/>
    <s v="CUST018"/>
    <s v="PROD008"/>
    <x v="2"/>
    <n v="70"/>
    <n v="2"/>
    <n v="140"/>
    <x v="3"/>
    <x v="2"/>
    <s v="Amazon Logistics"/>
    <d v="2023-01-16T00:00:00"/>
    <m/>
    <m/>
    <s v="No"/>
    <x v="4"/>
    <x v="0"/>
  </r>
  <r>
    <x v="27"/>
    <s v="CUST018"/>
    <s v="PROD018"/>
    <x v="3"/>
    <n v="97"/>
    <n v="3"/>
    <n v="291"/>
    <x v="1"/>
    <x v="2"/>
    <s v="Amazon Logistics"/>
    <d v="2023-10-09T00:00:00"/>
    <m/>
    <m/>
    <s v="No"/>
    <x v="1"/>
    <x v="0"/>
  </r>
  <r>
    <x v="28"/>
    <s v="CUST007"/>
    <s v="PROD021"/>
    <x v="1"/>
    <n v="37"/>
    <n v="3"/>
    <n v="111"/>
    <x v="0"/>
    <x v="0"/>
    <s v="DHL"/>
    <d v="2023-10-07T00:00:00"/>
    <m/>
    <d v="2023-10-10T00:00:00"/>
    <s v="Yes"/>
    <x v="0"/>
    <x v="0"/>
  </r>
  <r>
    <x v="29"/>
    <s v="CUST008"/>
    <s v="PROD008"/>
    <x v="0"/>
    <n v="69"/>
    <n v="5"/>
    <n v="345"/>
    <x v="3"/>
    <x v="2"/>
    <s v="Amazon Logistics"/>
    <d v="2023-02-14T00:00:00"/>
    <m/>
    <m/>
    <s v="No"/>
    <x v="4"/>
    <x v="0"/>
  </r>
  <r>
    <x v="30"/>
    <s v="CUST014"/>
    <s v="PROD002"/>
    <x v="0"/>
    <n v="42"/>
    <n v="5"/>
    <n v="210"/>
    <x v="3"/>
    <x v="2"/>
    <s v="UPS"/>
    <d v="2023-03-26T00:00:00"/>
    <m/>
    <m/>
    <s v="No"/>
    <x v="1"/>
    <x v="0"/>
  </r>
  <r>
    <x v="31"/>
    <s v="CUST037"/>
    <s v="PROD009"/>
    <x v="1"/>
    <n v="11"/>
    <n v="5"/>
    <n v="55"/>
    <x v="4"/>
    <x v="0"/>
    <s v="FedEx"/>
    <d v="2023-06-15T00:00:00"/>
    <m/>
    <d v="2023-06-22T00:00:00"/>
    <s v="Yes"/>
    <x v="4"/>
    <x v="0"/>
  </r>
  <r>
    <x v="32"/>
    <s v="CUST016"/>
    <s v="PROD005"/>
    <x v="2"/>
    <n v="27"/>
    <n v="2"/>
    <n v="54"/>
    <x v="0"/>
    <x v="1"/>
    <s v="USPS"/>
    <d v="2023-05-22T00:00:00"/>
    <d v="2023-05-23T00:00:00"/>
    <m/>
    <s v="No"/>
    <x v="2"/>
    <x v="4"/>
  </r>
  <r>
    <x v="33"/>
    <s v="CUST025"/>
    <s v="PROD015"/>
    <x v="2"/>
    <n v="21"/>
    <n v="1"/>
    <n v="21"/>
    <x v="3"/>
    <x v="2"/>
    <s v="DHL"/>
    <d v="2023-11-20T00:00:00"/>
    <m/>
    <m/>
    <s v="No"/>
    <x v="4"/>
    <x v="0"/>
  </r>
  <r>
    <x v="34"/>
    <s v="CUST032"/>
    <s v="PROD011"/>
    <x v="2"/>
    <n v="172"/>
    <n v="1"/>
    <n v="172"/>
    <x v="2"/>
    <x v="1"/>
    <s v="USPS"/>
    <d v="2023-12-22T00:00:00"/>
    <d v="2023-12-26T00:00:00"/>
    <m/>
    <s v="No"/>
    <x v="3"/>
    <x v="5"/>
  </r>
  <r>
    <x v="35"/>
    <s v="CUST014"/>
    <s v="PROD016"/>
    <x v="0"/>
    <n v="212"/>
    <n v="3"/>
    <n v="636"/>
    <x v="3"/>
    <x v="2"/>
    <s v="UPS"/>
    <d v="2023-07-23T00:00:00"/>
    <m/>
    <m/>
    <s v="No"/>
    <x v="0"/>
    <x v="0"/>
  </r>
  <r>
    <x v="36"/>
    <s v="CUST044"/>
    <s v="PROD002"/>
    <x v="1"/>
    <n v="41"/>
    <n v="4"/>
    <n v="164"/>
    <x v="1"/>
    <x v="1"/>
    <s v="Amazon Logistics"/>
    <d v="2023-10-17T00:00:00"/>
    <d v="2023-10-22T00:00:00"/>
    <m/>
    <s v="No"/>
    <x v="1"/>
    <x v="6"/>
  </r>
  <r>
    <x v="37"/>
    <s v="CUST028"/>
    <s v="PROD007"/>
    <x v="0"/>
    <n v="32"/>
    <n v="2"/>
    <n v="64"/>
    <x v="4"/>
    <x v="0"/>
    <s v="FedEx"/>
    <d v="2023-08-22T00:00:00"/>
    <m/>
    <d v="2023-08-24T00:00:00"/>
    <s v="Yes"/>
    <x v="1"/>
    <x v="0"/>
  </r>
  <r>
    <x v="38"/>
    <s v="CUST024"/>
    <s v="PROD022"/>
    <x v="1"/>
    <n v="66"/>
    <n v="2"/>
    <n v="132"/>
    <x v="0"/>
    <x v="2"/>
    <s v="DHL"/>
    <d v="2023-12-02T00:00:00"/>
    <m/>
    <m/>
    <s v="No"/>
    <x v="2"/>
    <x v="0"/>
  </r>
  <r>
    <x v="39"/>
    <s v="CUST006"/>
    <s v="PROD004"/>
    <x v="1"/>
    <n v="62"/>
    <n v="4"/>
    <n v="248"/>
    <x v="4"/>
    <x v="2"/>
    <s v="UPS"/>
    <d v="2023-12-25T00:00:00"/>
    <m/>
    <m/>
    <s v="No"/>
    <x v="1"/>
    <x v="0"/>
  </r>
  <r>
    <x v="40"/>
    <s v="CUST001"/>
    <s v="PROD011"/>
    <x v="4"/>
    <n v="173"/>
    <n v="4"/>
    <n v="692"/>
    <x v="0"/>
    <x v="1"/>
    <s v="UPS"/>
    <d v="2023-09-23T00:00:00"/>
    <d v="2023-09-30T00:00:00"/>
    <m/>
    <s v="No"/>
    <x v="3"/>
    <x v="7"/>
  </r>
  <r>
    <x v="41"/>
    <s v="CUST007"/>
    <s v="PROD004"/>
    <x v="4"/>
    <n v="63"/>
    <n v="3"/>
    <n v="189"/>
    <x v="0"/>
    <x v="1"/>
    <s v="UPS"/>
    <d v="2023-07-16T00:00:00"/>
    <d v="2023-07-18T00:00:00"/>
    <m/>
    <s v="No"/>
    <x v="1"/>
    <x v="1"/>
  </r>
  <r>
    <x v="42"/>
    <s v="CUST040"/>
    <s v="PROD021"/>
    <x v="4"/>
    <n v="36"/>
    <n v="3"/>
    <n v="108"/>
    <x v="4"/>
    <x v="0"/>
    <s v="USPS"/>
    <d v="2023-02-05T00:00:00"/>
    <m/>
    <d v="2023-02-11T00:00:00"/>
    <s v="Yes"/>
    <x v="0"/>
    <x v="0"/>
  </r>
  <r>
    <x v="43"/>
    <s v="CUST006"/>
    <s v="PROD004"/>
    <x v="3"/>
    <n v="62"/>
    <n v="1"/>
    <n v="62"/>
    <x v="0"/>
    <x v="0"/>
    <s v="Amazon Logistics"/>
    <d v="2023-12-18T00:00:00"/>
    <m/>
    <d v="2023-12-23T00:00:00"/>
    <s v="Yes"/>
    <x v="1"/>
    <x v="0"/>
  </r>
  <r>
    <x v="44"/>
    <s v="CUST042"/>
    <s v="PROD003"/>
    <x v="3"/>
    <n v="137"/>
    <n v="5"/>
    <n v="685"/>
    <x v="3"/>
    <x v="0"/>
    <s v="FedEx"/>
    <d v="2023-06-11T00:00:00"/>
    <m/>
    <d v="2023-06-14T00:00:00"/>
    <s v="Yes"/>
    <x v="0"/>
    <x v="0"/>
  </r>
  <r>
    <x v="45"/>
    <s v="CUST039"/>
    <s v="PROD017"/>
    <x v="0"/>
    <n v="73"/>
    <n v="4"/>
    <n v="292"/>
    <x v="1"/>
    <x v="1"/>
    <s v="Amazon Logistics"/>
    <d v="2023-12-04T00:00:00"/>
    <d v="2023-12-08T00:00:00"/>
    <m/>
    <s v="No"/>
    <x v="3"/>
    <x v="5"/>
  </r>
  <r>
    <x v="46"/>
    <s v="CUST041"/>
    <s v="PROD020"/>
    <x v="0"/>
    <n v="104"/>
    <n v="1"/>
    <n v="104"/>
    <x v="2"/>
    <x v="1"/>
    <s v="Amazon Logistics"/>
    <d v="2023-07-17T00:00:00"/>
    <d v="2023-07-19T00:00:00"/>
    <m/>
    <s v="No"/>
    <x v="3"/>
    <x v="1"/>
  </r>
  <r>
    <x v="47"/>
    <s v="CUST044"/>
    <s v="PROD006"/>
    <x v="1"/>
    <n v="97"/>
    <n v="1"/>
    <n v="97"/>
    <x v="3"/>
    <x v="1"/>
    <s v="FedEx"/>
    <d v="2023-10-19T00:00:00"/>
    <d v="2023-10-24T00:00:00"/>
    <m/>
    <s v="No"/>
    <x v="2"/>
    <x v="6"/>
  </r>
  <r>
    <x v="48"/>
    <s v="CUST026"/>
    <s v="PROD017"/>
    <x v="2"/>
    <n v="73"/>
    <n v="5"/>
    <n v="365"/>
    <x v="0"/>
    <x v="2"/>
    <s v="Amazon Logistics"/>
    <d v="2023-05-15T00:00:00"/>
    <m/>
    <m/>
    <s v="No"/>
    <x v="3"/>
    <x v="0"/>
  </r>
  <r>
    <x v="49"/>
    <s v="CUST040"/>
    <s v="PROD005"/>
    <x v="1"/>
    <n v="27"/>
    <n v="3"/>
    <n v="81"/>
    <x v="3"/>
    <x v="1"/>
    <s v="UPS"/>
    <d v="2023-02-12T00:00:00"/>
    <d v="2023-02-19T00:00:00"/>
    <m/>
    <s v="No"/>
    <x v="2"/>
    <x v="7"/>
  </r>
  <r>
    <x v="50"/>
    <s v="CUST041"/>
    <s v="PROD021"/>
    <x v="0"/>
    <n v="37"/>
    <n v="1"/>
    <n v="37"/>
    <x v="0"/>
    <x v="2"/>
    <s v="UPS"/>
    <d v="2023-10-02T00:00:00"/>
    <m/>
    <m/>
    <s v="No"/>
    <x v="0"/>
    <x v="0"/>
  </r>
  <r>
    <x v="51"/>
    <s v="CUST008"/>
    <s v="PROD015"/>
    <x v="0"/>
    <n v="22"/>
    <n v="1"/>
    <n v="22"/>
    <x v="4"/>
    <x v="1"/>
    <s v="FedEx"/>
    <d v="2023-01-30T00:00:00"/>
    <d v="2023-02-01T00:00:00"/>
    <m/>
    <s v="No"/>
    <x v="4"/>
    <x v="1"/>
  </r>
  <r>
    <x v="52"/>
    <s v="CUST011"/>
    <s v="PROD016"/>
    <x v="3"/>
    <n v="218"/>
    <n v="5"/>
    <n v="1090"/>
    <x v="2"/>
    <x v="1"/>
    <s v="DHL"/>
    <d v="2023-12-29T00:00:00"/>
    <d v="2024-01-01T00:00:00"/>
    <m/>
    <s v="No"/>
    <x v="0"/>
    <x v="2"/>
  </r>
  <r>
    <x v="53"/>
    <s v="CUST018"/>
    <s v="PROD004"/>
    <x v="0"/>
    <n v="64"/>
    <n v="1"/>
    <n v="64"/>
    <x v="0"/>
    <x v="0"/>
    <s v="USPS"/>
    <d v="2023-03-06T00:00:00"/>
    <m/>
    <d v="2023-03-13T00:00:00"/>
    <s v="Yes"/>
    <x v="1"/>
    <x v="0"/>
  </r>
  <r>
    <x v="54"/>
    <s v="CUST037"/>
    <s v="PROD021"/>
    <x v="3"/>
    <n v="36"/>
    <n v="4"/>
    <n v="144"/>
    <x v="2"/>
    <x v="1"/>
    <s v="Amazon Logistics"/>
    <d v="2023-02-02T00:00:00"/>
    <d v="2023-02-06T00:00:00"/>
    <m/>
    <s v="No"/>
    <x v="0"/>
    <x v="5"/>
  </r>
  <r>
    <x v="55"/>
    <s v="CUST017"/>
    <s v="PROD004"/>
    <x v="4"/>
    <n v="65"/>
    <n v="1"/>
    <n v="65"/>
    <x v="3"/>
    <x v="1"/>
    <s v="FedEx"/>
    <d v="2023-10-18T00:00:00"/>
    <d v="2023-10-21T00:00:00"/>
    <m/>
    <s v="No"/>
    <x v="1"/>
    <x v="2"/>
  </r>
  <r>
    <x v="56"/>
    <s v="CUST025"/>
    <s v="PROD005"/>
    <x v="3"/>
    <n v="26"/>
    <n v="1"/>
    <n v="26"/>
    <x v="0"/>
    <x v="1"/>
    <s v="DHL"/>
    <d v="2023-01-07T00:00:00"/>
    <d v="2023-01-09T00:00:00"/>
    <m/>
    <s v="No"/>
    <x v="2"/>
    <x v="1"/>
  </r>
  <r>
    <x v="57"/>
    <s v="CUST021"/>
    <s v="PROD009"/>
    <x v="0"/>
    <n v="11"/>
    <n v="5"/>
    <n v="55"/>
    <x v="1"/>
    <x v="2"/>
    <s v="FedEx"/>
    <d v="2023-05-08T00:00:00"/>
    <m/>
    <m/>
    <s v="No"/>
    <x v="4"/>
    <x v="0"/>
  </r>
  <r>
    <x v="58"/>
    <s v="CUST003"/>
    <s v="PROD013"/>
    <x v="0"/>
    <n v="195"/>
    <n v="4"/>
    <n v="780"/>
    <x v="2"/>
    <x v="0"/>
    <s v="FedEx"/>
    <d v="2023-04-02T00:00:00"/>
    <m/>
    <d v="2023-04-05T00:00:00"/>
    <s v="Yes"/>
    <x v="0"/>
    <x v="0"/>
  </r>
  <r>
    <x v="59"/>
    <s v="CUST019"/>
    <s v="PROD019"/>
    <x v="4"/>
    <n v="44"/>
    <n v="5"/>
    <n v="220"/>
    <x v="0"/>
    <x v="0"/>
    <s v="USPS"/>
    <d v="2023-10-11T00:00:00"/>
    <m/>
    <d v="2023-10-12T00:00:00"/>
    <s v="Yes"/>
    <x v="2"/>
    <x v="0"/>
  </r>
  <r>
    <x v="60"/>
    <s v="CUST035"/>
    <s v="PROD008"/>
    <x v="1"/>
    <n v="69"/>
    <n v="4"/>
    <n v="276"/>
    <x v="4"/>
    <x v="2"/>
    <s v="DHL"/>
    <d v="2023-09-10T00:00:00"/>
    <m/>
    <m/>
    <s v="No"/>
    <x v="4"/>
    <x v="0"/>
  </r>
  <r>
    <x v="61"/>
    <s v="CUST022"/>
    <s v="PROD001"/>
    <x v="0"/>
    <n v="815"/>
    <n v="4"/>
    <n v="3260"/>
    <x v="1"/>
    <x v="1"/>
    <s v="USPS"/>
    <d v="2023-11-22T00:00:00"/>
    <d v="2023-11-29T00:00:00"/>
    <m/>
    <s v="No"/>
    <x v="3"/>
    <x v="7"/>
  </r>
  <r>
    <x v="62"/>
    <s v="CUST004"/>
    <s v="PROD005"/>
    <x v="1"/>
    <n v="27"/>
    <n v="1"/>
    <n v="27"/>
    <x v="4"/>
    <x v="2"/>
    <s v="Amazon Logistics"/>
    <d v="2023-05-02T00:00:00"/>
    <m/>
    <m/>
    <s v="No"/>
    <x v="2"/>
    <x v="0"/>
  </r>
  <r>
    <x v="63"/>
    <s v="CUST048"/>
    <s v="PROD003"/>
    <x v="4"/>
    <n v="139"/>
    <n v="5"/>
    <n v="695"/>
    <x v="0"/>
    <x v="1"/>
    <s v="USPS"/>
    <d v="2023-12-25T00:00:00"/>
    <d v="2023-12-29T00:00:00"/>
    <m/>
    <s v="No"/>
    <x v="0"/>
    <x v="5"/>
  </r>
  <r>
    <x v="64"/>
    <s v="CUST009"/>
    <s v="PROD008"/>
    <x v="2"/>
    <n v="69"/>
    <n v="3"/>
    <n v="207"/>
    <x v="2"/>
    <x v="0"/>
    <s v="Amazon Logistics"/>
    <d v="2023-10-18T00:00:00"/>
    <m/>
    <d v="2023-10-20T00:00:00"/>
    <s v="Yes"/>
    <x v="4"/>
    <x v="0"/>
  </r>
  <r>
    <x v="65"/>
    <s v="CUST009"/>
    <s v="PROD019"/>
    <x v="4"/>
    <n v="42"/>
    <n v="1"/>
    <n v="42"/>
    <x v="0"/>
    <x v="0"/>
    <s v="DHL"/>
    <d v="2023-05-20T00:00:00"/>
    <m/>
    <d v="2023-05-21T00:00:00"/>
    <s v="Yes"/>
    <x v="2"/>
    <x v="0"/>
  </r>
  <r>
    <x v="66"/>
    <s v="CUST050"/>
    <s v="PROD007"/>
    <x v="0"/>
    <n v="31"/>
    <n v="4"/>
    <n v="124"/>
    <x v="1"/>
    <x v="1"/>
    <s v="UPS"/>
    <d v="2023-07-28T00:00:00"/>
    <d v="2023-07-30T00:00:00"/>
    <m/>
    <s v="No"/>
    <x v="1"/>
    <x v="1"/>
  </r>
  <r>
    <x v="67"/>
    <s v="CUST045"/>
    <s v="PROD020"/>
    <x v="4"/>
    <n v="104"/>
    <n v="3"/>
    <n v="312"/>
    <x v="1"/>
    <x v="2"/>
    <s v="UPS"/>
    <d v="2023-12-18T00:00:00"/>
    <m/>
    <m/>
    <s v="No"/>
    <x v="3"/>
    <x v="0"/>
  </r>
  <r>
    <x v="68"/>
    <s v="CUST044"/>
    <s v="PROD010"/>
    <x v="1"/>
    <n v="58"/>
    <n v="2"/>
    <n v="116"/>
    <x v="0"/>
    <x v="0"/>
    <s v="USPS"/>
    <d v="2023-07-02T00:00:00"/>
    <m/>
    <d v="2023-07-07T00:00:00"/>
    <s v="Yes"/>
    <x v="2"/>
    <x v="0"/>
  </r>
  <r>
    <x v="69"/>
    <s v="CUST009"/>
    <s v="PROD004"/>
    <x v="4"/>
    <n v="62"/>
    <n v="2"/>
    <n v="124"/>
    <x v="4"/>
    <x v="0"/>
    <s v="DHL"/>
    <d v="2023-10-09T00:00:00"/>
    <m/>
    <d v="2023-10-10T00:00:00"/>
    <s v="Yes"/>
    <x v="1"/>
    <x v="0"/>
  </r>
  <r>
    <x v="70"/>
    <s v="CUST006"/>
    <s v="PROD019"/>
    <x v="1"/>
    <n v="43"/>
    <n v="1"/>
    <n v="43"/>
    <x v="1"/>
    <x v="1"/>
    <s v="Amazon Logistics"/>
    <d v="2023-12-18T00:00:00"/>
    <d v="2023-12-25T00:00:00"/>
    <m/>
    <s v="No"/>
    <x v="2"/>
    <x v="7"/>
  </r>
  <r>
    <x v="71"/>
    <s v="CUST022"/>
    <s v="PROD004"/>
    <x v="1"/>
    <n v="62"/>
    <n v="4"/>
    <n v="248"/>
    <x v="4"/>
    <x v="2"/>
    <s v="Amazon Logistics"/>
    <d v="2023-03-07T00:00:00"/>
    <m/>
    <m/>
    <s v="No"/>
    <x v="1"/>
    <x v="0"/>
  </r>
  <r>
    <x v="72"/>
    <s v="CUST028"/>
    <s v="PROD006"/>
    <x v="0"/>
    <n v="95"/>
    <n v="2"/>
    <n v="190"/>
    <x v="2"/>
    <x v="0"/>
    <s v="UPS"/>
    <d v="2023-07-22T00:00:00"/>
    <m/>
    <d v="2023-07-25T00:00:00"/>
    <s v="Yes"/>
    <x v="2"/>
    <x v="0"/>
  </r>
  <r>
    <x v="73"/>
    <s v="CUST016"/>
    <s v="PROD021"/>
    <x v="3"/>
    <n v="36"/>
    <n v="4"/>
    <n v="144"/>
    <x v="0"/>
    <x v="1"/>
    <s v="FedEx"/>
    <d v="2023-01-18T00:00:00"/>
    <d v="2023-01-24T00:00:00"/>
    <m/>
    <s v="No"/>
    <x v="0"/>
    <x v="3"/>
  </r>
  <r>
    <x v="74"/>
    <s v="CUST042"/>
    <s v="PROD017"/>
    <x v="1"/>
    <n v="73"/>
    <n v="5"/>
    <n v="365"/>
    <x v="0"/>
    <x v="2"/>
    <s v="DHL"/>
    <d v="2023-05-24T00:00:00"/>
    <m/>
    <m/>
    <s v="No"/>
    <x v="3"/>
    <x v="0"/>
  </r>
  <r>
    <x v="75"/>
    <s v="CUST023"/>
    <s v="PROD019"/>
    <x v="0"/>
    <n v="43"/>
    <n v="4"/>
    <n v="172"/>
    <x v="4"/>
    <x v="1"/>
    <s v="DHL"/>
    <d v="2023-09-03T00:00:00"/>
    <d v="2023-09-09T00:00:00"/>
    <m/>
    <s v="No"/>
    <x v="2"/>
    <x v="3"/>
  </r>
  <r>
    <x v="76"/>
    <s v="CUST004"/>
    <s v="PROD016"/>
    <x v="4"/>
    <n v="214"/>
    <n v="5"/>
    <n v="1070"/>
    <x v="4"/>
    <x v="1"/>
    <s v="UPS"/>
    <d v="2023-11-02T00:00:00"/>
    <d v="2023-11-04T00:00:00"/>
    <m/>
    <s v="No"/>
    <x v="0"/>
    <x v="1"/>
  </r>
  <r>
    <x v="77"/>
    <s v="CUST048"/>
    <s v="PROD002"/>
    <x v="3"/>
    <n v="42"/>
    <n v="2"/>
    <n v="84"/>
    <x v="0"/>
    <x v="0"/>
    <s v="UPS"/>
    <d v="2023-12-03T00:00:00"/>
    <m/>
    <d v="2023-12-06T00:00:00"/>
    <s v="Yes"/>
    <x v="1"/>
    <x v="0"/>
  </r>
  <r>
    <x v="78"/>
    <s v="CUST048"/>
    <s v="PROD012"/>
    <x v="0"/>
    <n v="46"/>
    <n v="1"/>
    <n v="46"/>
    <x v="3"/>
    <x v="2"/>
    <s v="UPS"/>
    <d v="2023-04-01T00:00:00"/>
    <m/>
    <m/>
    <s v="No"/>
    <x v="0"/>
    <x v="0"/>
  </r>
  <r>
    <x v="79"/>
    <s v="CUST032"/>
    <s v="PROD018"/>
    <x v="1"/>
    <n v="95"/>
    <n v="4"/>
    <n v="380"/>
    <x v="1"/>
    <x v="1"/>
    <s v="UPS"/>
    <d v="2023-10-16T00:00:00"/>
    <d v="2023-10-19T00:00:00"/>
    <m/>
    <s v="No"/>
    <x v="1"/>
    <x v="2"/>
  </r>
  <r>
    <x v="80"/>
    <s v="CUST001"/>
    <s v="PROD011"/>
    <x v="4"/>
    <n v="174"/>
    <n v="2"/>
    <n v="348"/>
    <x v="2"/>
    <x v="2"/>
    <s v="UPS"/>
    <d v="2023-11-05T00:00:00"/>
    <m/>
    <m/>
    <s v="No"/>
    <x v="3"/>
    <x v="0"/>
  </r>
  <r>
    <x v="81"/>
    <s v="CUST046"/>
    <s v="PROD005"/>
    <x v="0"/>
    <n v="27"/>
    <n v="5"/>
    <n v="135"/>
    <x v="1"/>
    <x v="0"/>
    <s v="Amazon Logistics"/>
    <d v="2023-06-15T00:00:00"/>
    <m/>
    <d v="2023-06-18T00:00:00"/>
    <s v="Yes"/>
    <x v="2"/>
    <x v="0"/>
  </r>
  <r>
    <x v="82"/>
    <s v="CUST021"/>
    <s v="PROD005"/>
    <x v="2"/>
    <n v="27"/>
    <n v="4"/>
    <n v="108"/>
    <x v="2"/>
    <x v="1"/>
    <s v="USPS"/>
    <d v="2023-10-28T00:00:00"/>
    <d v="2023-10-30T00:00:00"/>
    <m/>
    <s v="No"/>
    <x v="2"/>
    <x v="1"/>
  </r>
  <r>
    <x v="83"/>
    <s v="CUST015"/>
    <s v="PROD022"/>
    <x v="2"/>
    <n v="65"/>
    <n v="2"/>
    <n v="130"/>
    <x v="2"/>
    <x v="2"/>
    <s v="DHL"/>
    <d v="2023-12-22T00:00:00"/>
    <m/>
    <m/>
    <s v="No"/>
    <x v="2"/>
    <x v="0"/>
  </r>
  <r>
    <x v="84"/>
    <s v="CUST045"/>
    <s v="PROD019"/>
    <x v="1"/>
    <n v="43"/>
    <n v="5"/>
    <n v="215"/>
    <x v="4"/>
    <x v="2"/>
    <s v="DHL"/>
    <d v="2023-03-07T00:00:00"/>
    <m/>
    <m/>
    <s v="No"/>
    <x v="2"/>
    <x v="0"/>
  </r>
  <r>
    <x v="85"/>
    <s v="CUST007"/>
    <s v="PROD016"/>
    <x v="4"/>
    <n v="210"/>
    <n v="1"/>
    <n v="210"/>
    <x v="2"/>
    <x v="2"/>
    <s v="UPS"/>
    <d v="2023-11-10T00:00:00"/>
    <m/>
    <m/>
    <s v="No"/>
    <x v="0"/>
    <x v="0"/>
  </r>
  <r>
    <x v="86"/>
    <s v="CUST043"/>
    <s v="PROD021"/>
    <x v="2"/>
    <n v="37"/>
    <n v="3"/>
    <n v="111"/>
    <x v="1"/>
    <x v="2"/>
    <s v="UPS"/>
    <d v="2023-11-22T00:00:00"/>
    <m/>
    <m/>
    <s v="No"/>
    <x v="0"/>
    <x v="0"/>
  </r>
  <r>
    <x v="87"/>
    <s v="CUST007"/>
    <s v="PROD001"/>
    <x v="2"/>
    <n v="788"/>
    <n v="4"/>
    <n v="3152"/>
    <x v="4"/>
    <x v="2"/>
    <s v="Amazon Logistics"/>
    <d v="2023-05-08T00:00:00"/>
    <m/>
    <m/>
    <s v="No"/>
    <x v="3"/>
    <x v="0"/>
  </r>
  <r>
    <x v="88"/>
    <s v="CUST007"/>
    <s v="PROD016"/>
    <x v="4"/>
    <n v="217"/>
    <n v="5"/>
    <n v="1085"/>
    <x v="4"/>
    <x v="2"/>
    <s v="FedEx"/>
    <d v="2023-07-13T00:00:00"/>
    <m/>
    <m/>
    <s v="No"/>
    <x v="0"/>
    <x v="0"/>
  </r>
  <r>
    <x v="89"/>
    <s v="CUST007"/>
    <s v="PROD003"/>
    <x v="4"/>
    <n v="138"/>
    <n v="4"/>
    <n v="552"/>
    <x v="1"/>
    <x v="2"/>
    <s v="FedEx"/>
    <d v="2023-01-18T00:00:00"/>
    <m/>
    <m/>
    <s v="No"/>
    <x v="0"/>
    <x v="0"/>
  </r>
  <r>
    <x v="90"/>
    <s v="CUST031"/>
    <s v="PROD001"/>
    <x v="3"/>
    <n v="803"/>
    <n v="2"/>
    <n v="1606"/>
    <x v="0"/>
    <x v="1"/>
    <s v="FedEx"/>
    <d v="2023-06-23T00:00:00"/>
    <d v="2023-06-29T00:00:00"/>
    <m/>
    <s v="No"/>
    <x v="3"/>
    <x v="3"/>
  </r>
  <r>
    <x v="91"/>
    <s v="CUST013"/>
    <s v="PROD014"/>
    <x v="0"/>
    <n v="248"/>
    <n v="5"/>
    <n v="1240"/>
    <x v="2"/>
    <x v="0"/>
    <s v="UPS"/>
    <d v="2023-02-21T00:00:00"/>
    <m/>
    <d v="2023-02-25T00:00:00"/>
    <s v="Yes"/>
    <x v="3"/>
    <x v="0"/>
  </r>
  <r>
    <x v="92"/>
    <s v="CUST036"/>
    <s v="PROD016"/>
    <x v="1"/>
    <n v="210"/>
    <n v="3"/>
    <n v="630"/>
    <x v="0"/>
    <x v="1"/>
    <s v="DHL"/>
    <d v="2023-02-19T00:00:00"/>
    <d v="2023-02-21T00:00:00"/>
    <m/>
    <s v="No"/>
    <x v="0"/>
    <x v="1"/>
  </r>
  <r>
    <x v="93"/>
    <s v="CUST013"/>
    <s v="PROD004"/>
    <x v="0"/>
    <n v="62"/>
    <n v="2"/>
    <n v="124"/>
    <x v="1"/>
    <x v="0"/>
    <s v="FedEx"/>
    <d v="2023-12-05T00:00:00"/>
    <m/>
    <d v="2023-12-12T00:00:00"/>
    <s v="Yes"/>
    <x v="1"/>
    <x v="0"/>
  </r>
  <r>
    <x v="94"/>
    <s v="CUST043"/>
    <s v="PROD009"/>
    <x v="2"/>
    <n v="11"/>
    <n v="5"/>
    <n v="55"/>
    <x v="4"/>
    <x v="0"/>
    <s v="Amazon Logistics"/>
    <d v="2023-06-07T00:00:00"/>
    <m/>
    <d v="2023-06-12T00:00:00"/>
    <s v="Yes"/>
    <x v="4"/>
    <x v="0"/>
  </r>
  <r>
    <x v="95"/>
    <s v="CUST017"/>
    <s v="PROD015"/>
    <x v="0"/>
    <n v="21"/>
    <n v="2"/>
    <n v="42"/>
    <x v="3"/>
    <x v="1"/>
    <s v="UPS"/>
    <d v="2023-07-09T00:00:00"/>
    <d v="2023-07-12T00:00:00"/>
    <m/>
    <s v="No"/>
    <x v="4"/>
    <x v="2"/>
  </r>
  <r>
    <x v="96"/>
    <s v="CUST023"/>
    <s v="PROD018"/>
    <x v="4"/>
    <n v="95"/>
    <n v="5"/>
    <n v="475"/>
    <x v="3"/>
    <x v="1"/>
    <s v="Amazon Logistics"/>
    <d v="2023-12-23T00:00:00"/>
    <d v="2023-12-26T00:00:00"/>
    <m/>
    <s v="No"/>
    <x v="1"/>
    <x v="2"/>
  </r>
  <r>
    <x v="97"/>
    <s v="CUST044"/>
    <s v="PROD016"/>
    <x v="2"/>
    <n v="215"/>
    <n v="2"/>
    <n v="430"/>
    <x v="2"/>
    <x v="1"/>
    <s v="Amazon Logistics"/>
    <d v="2023-09-25T00:00:00"/>
    <d v="2023-09-30T00:00:00"/>
    <m/>
    <s v="No"/>
    <x v="0"/>
    <x v="6"/>
  </r>
  <r>
    <x v="98"/>
    <s v="CUST034"/>
    <s v="PROD019"/>
    <x v="4"/>
    <n v="43"/>
    <n v="5"/>
    <n v="215"/>
    <x v="1"/>
    <x v="0"/>
    <s v="UPS"/>
    <d v="2023-01-18T00:00:00"/>
    <m/>
    <d v="2023-01-24T00:00:00"/>
    <s v="Yes"/>
    <x v="2"/>
    <x v="0"/>
  </r>
  <r>
    <x v="99"/>
    <s v="CUST009"/>
    <s v="PROD002"/>
    <x v="4"/>
    <n v="42"/>
    <n v="4"/>
    <n v="168"/>
    <x v="4"/>
    <x v="2"/>
    <s v="DHL"/>
    <d v="2023-03-27T00:00:00"/>
    <m/>
    <m/>
    <s v="No"/>
    <x v="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x v="0"/>
    <x v="0"/>
    <n v="44"/>
    <n v="1"/>
    <n v="44"/>
    <s v="Apple Pay"/>
    <x v="0"/>
    <s v="DHL"/>
    <d v="2023-12-31T00:00:00"/>
    <m/>
    <d v="2024-01-02T00:00:00"/>
    <x v="0"/>
    <s v="Home"/>
    <s v="NA"/>
    <s v="Zoe Mitchell"/>
    <x v="0"/>
  </r>
  <r>
    <x v="1"/>
    <s v="CUST029"/>
    <x v="1"/>
    <x v="1"/>
    <n v="96"/>
    <n v="4"/>
    <n v="384"/>
    <s v="Credit Card"/>
    <x v="1"/>
    <s v="DHL"/>
    <d v="2023-02-22T00:00:00"/>
    <d v="2023-02-24T00:00:00"/>
    <m/>
    <x v="1"/>
    <s v="Toys"/>
    <n v="2"/>
    <s v="Ava White"/>
    <x v="1"/>
  </r>
  <r>
    <x v="2"/>
    <s v="CUST021"/>
    <x v="2"/>
    <x v="2"/>
    <n v="194"/>
    <n v="4"/>
    <n v="776"/>
    <s v="Credit Card"/>
    <x v="2"/>
    <s v="USPS"/>
    <d v="2023-10-11T00:00:00"/>
    <m/>
    <m/>
    <x v="1"/>
    <s v="Home"/>
    <s v="NA"/>
    <s v="Zoe Mitchell"/>
    <x v="0"/>
  </r>
  <r>
    <x v="3"/>
    <s v="CUST044"/>
    <x v="2"/>
    <x v="0"/>
    <n v="196"/>
    <n v="3"/>
    <n v="588"/>
    <s v="PayPal"/>
    <x v="0"/>
    <s v="UPS"/>
    <d v="2023-05-05T00:00:00"/>
    <m/>
    <d v="2023-05-11T00:00:00"/>
    <x v="0"/>
    <s v="Home"/>
    <s v="NA"/>
    <s v="Grace Ward"/>
    <x v="0"/>
  </r>
  <r>
    <x v="4"/>
    <s v="CUST027"/>
    <x v="3"/>
    <x v="0"/>
    <n v="59"/>
    <n v="1"/>
    <n v="59"/>
    <s v="PayPal"/>
    <x v="1"/>
    <s v="Amazon Logistics"/>
    <d v="2023-02-02T00:00:00"/>
    <d v="2023-02-05T00:00:00"/>
    <m/>
    <x v="1"/>
    <s v="Fashion"/>
    <n v="3"/>
    <s v="Hazel Brooks"/>
    <x v="2"/>
  </r>
  <r>
    <x v="5"/>
    <s v="CUST009"/>
    <x v="3"/>
    <x v="0"/>
    <n v="58"/>
    <n v="4"/>
    <n v="232"/>
    <s v="Amazon Pay"/>
    <x v="0"/>
    <s v="DHL"/>
    <d v="2023-11-01T00:00:00"/>
    <m/>
    <d v="2023-11-02T00:00:00"/>
    <x v="0"/>
    <s v="Fashion"/>
    <s v="NA"/>
    <s v="Jackson Allen"/>
    <x v="0"/>
  </r>
  <r>
    <x v="6"/>
    <s v="CUST042"/>
    <x v="4"/>
    <x v="3"/>
    <n v="105"/>
    <n v="3"/>
    <n v="315"/>
    <s v="Debit Card"/>
    <x v="0"/>
    <s v="DHL"/>
    <d v="2023-08-14T00:00:00"/>
    <m/>
    <d v="2023-08-18T00:00:00"/>
    <x v="0"/>
    <s v="Electronics"/>
    <s v="NA"/>
    <s v="Noah Wilson"/>
    <x v="0"/>
  </r>
  <r>
    <x v="7"/>
    <s v="CUST019"/>
    <x v="5"/>
    <x v="4"/>
    <n v="37"/>
    <n v="5"/>
    <n v="185"/>
    <s v="PayPal"/>
    <x v="0"/>
    <s v="DHL"/>
    <d v="2023-04-01T00:00:00"/>
    <m/>
    <d v="2023-04-06T00:00:00"/>
    <x v="0"/>
    <s v="Home"/>
    <s v="NA"/>
    <s v="Ava Robinson"/>
    <x v="0"/>
  </r>
  <r>
    <x v="8"/>
    <s v="CUST013"/>
    <x v="6"/>
    <x v="3"/>
    <n v="44"/>
    <n v="2"/>
    <n v="88"/>
    <s v="Credit Card"/>
    <x v="2"/>
    <s v="Amazon Logistics"/>
    <d v="2023-07-21T00:00:00"/>
    <m/>
    <m/>
    <x v="1"/>
    <s v="Fashion"/>
    <s v="NA"/>
    <s v="Olivia Martinez"/>
    <x v="0"/>
  </r>
  <r>
    <x v="9"/>
    <s v="CUST019"/>
    <x v="7"/>
    <x v="2"/>
    <n v="141"/>
    <n v="4"/>
    <n v="564"/>
    <s v="Debit Card"/>
    <x v="2"/>
    <s v="DHL"/>
    <d v="2023-12-29T00:00:00"/>
    <m/>
    <m/>
    <x v="1"/>
    <s v="Home"/>
    <s v="NA"/>
    <s v="Ava Robinson"/>
    <x v="0"/>
  </r>
  <r>
    <x v="10"/>
    <s v="CUST046"/>
    <x v="8"/>
    <x v="2"/>
    <n v="249"/>
    <n v="1"/>
    <n v="249"/>
    <s v="Amazon Pay"/>
    <x v="0"/>
    <s v="USPS"/>
    <d v="2023-05-04T00:00:00"/>
    <m/>
    <d v="2023-05-08T00:00:00"/>
    <x v="0"/>
    <s v="Electronics"/>
    <s v="NA"/>
    <s v="Emily Johnson"/>
    <x v="0"/>
  </r>
  <r>
    <x v="11"/>
    <s v="CUST045"/>
    <x v="8"/>
    <x v="3"/>
    <n v="247"/>
    <n v="3"/>
    <n v="741"/>
    <s v="Amazon Pay"/>
    <x v="2"/>
    <s v="FedEx"/>
    <d v="2023-07-25T00:00:00"/>
    <m/>
    <m/>
    <x v="1"/>
    <s v="Electronics"/>
    <s v="NA"/>
    <s v="Emily Johnson"/>
    <x v="0"/>
  </r>
  <r>
    <x v="12"/>
    <s v="CUST023"/>
    <x v="9"/>
    <x v="3"/>
    <n v="96"/>
    <n v="1"/>
    <n v="96"/>
    <s v="Apple Pay"/>
    <x v="0"/>
    <s v="Amazon Logistics"/>
    <d v="2023-02-25T00:00:00"/>
    <m/>
    <d v="2023-02-28T00:00:00"/>
    <x v="0"/>
    <s v="Fashion"/>
    <s v="NA"/>
    <s v="Charlotte Reed"/>
    <x v="0"/>
  </r>
  <r>
    <x v="13"/>
    <s v="CUST033"/>
    <x v="10"/>
    <x v="4"/>
    <n v="74"/>
    <n v="5"/>
    <n v="370"/>
    <s v="Apple Pay"/>
    <x v="0"/>
    <s v="Amazon Logistics"/>
    <d v="2023-02-24T00:00:00"/>
    <m/>
    <d v="2023-02-25T00:00:00"/>
    <x v="0"/>
    <s v="Electronics"/>
    <s v="NA"/>
    <s v="Hazel Rivera"/>
    <x v="0"/>
  </r>
  <r>
    <x v="14"/>
    <s v="CUST033"/>
    <x v="11"/>
    <x v="2"/>
    <n v="27"/>
    <n v="1"/>
    <n v="27"/>
    <s v="Credit Card"/>
    <x v="0"/>
    <s v="Amazon Logistics"/>
    <d v="2023-08-26T00:00:00"/>
    <m/>
    <d v="2023-09-02T00:00:00"/>
    <x v="0"/>
    <s v="Fashion"/>
    <s v="NA"/>
    <s v="Hazel Rivera"/>
    <x v="0"/>
  </r>
  <r>
    <x v="15"/>
    <s v="CUST047"/>
    <x v="11"/>
    <x v="2"/>
    <n v="27"/>
    <n v="3"/>
    <n v="81"/>
    <s v="Debit Card"/>
    <x v="2"/>
    <s v="Amazon Logistics"/>
    <d v="2023-02-13T00:00:00"/>
    <m/>
    <m/>
    <x v="1"/>
    <s v="Fashion"/>
    <s v="NA"/>
    <s v="Scarlett Murphy"/>
    <x v="0"/>
  </r>
  <r>
    <x v="16"/>
    <s v="CUST045"/>
    <x v="12"/>
    <x v="1"/>
    <n v="21"/>
    <n v="3"/>
    <n v="63"/>
    <s v="Credit Card"/>
    <x v="1"/>
    <s v="DHL"/>
    <d v="2023-06-28T00:00:00"/>
    <d v="2023-07-01T00:00:00"/>
    <m/>
    <x v="1"/>
    <s v="Books"/>
    <n v="3"/>
    <s v="Emily Johnson"/>
    <x v="2"/>
  </r>
  <r>
    <x v="17"/>
    <s v="CUST011"/>
    <x v="13"/>
    <x v="4"/>
    <n v="70"/>
    <n v="5"/>
    <n v="350"/>
    <s v="PayPal"/>
    <x v="2"/>
    <s v="Amazon Logistics"/>
    <d v="2023-11-28T00:00:00"/>
    <m/>
    <m/>
    <x v="1"/>
    <s v="Books"/>
    <s v="NA"/>
    <s v="Mason Hall"/>
    <x v="0"/>
  </r>
  <r>
    <x v="18"/>
    <s v="CUST041"/>
    <x v="9"/>
    <x v="2"/>
    <n v="94"/>
    <n v="4"/>
    <n v="376"/>
    <s v="Credit Card"/>
    <x v="2"/>
    <s v="USPS"/>
    <d v="2023-08-25T00:00:00"/>
    <m/>
    <m/>
    <x v="1"/>
    <s v="Fashion"/>
    <s v="NA"/>
    <s v="Jacob Price"/>
    <x v="0"/>
  </r>
  <r>
    <x v="19"/>
    <s v="CUST025"/>
    <x v="14"/>
    <x v="0"/>
    <n v="813"/>
    <n v="2"/>
    <n v="1626"/>
    <s v="Credit Card"/>
    <x v="2"/>
    <s v="FedEx"/>
    <d v="2023-04-12T00:00:00"/>
    <m/>
    <m/>
    <x v="1"/>
    <s v="Electronics"/>
    <s v="NA"/>
    <s v="Emma King"/>
    <x v="0"/>
  </r>
  <r>
    <x v="20"/>
    <s v="CUST013"/>
    <x v="12"/>
    <x v="3"/>
    <n v="21"/>
    <n v="4"/>
    <n v="84"/>
    <s v="PayPal"/>
    <x v="2"/>
    <s v="Amazon Logistics"/>
    <d v="2023-10-02T00:00:00"/>
    <m/>
    <m/>
    <x v="1"/>
    <s v="Books"/>
    <s v="NA"/>
    <s v="Olivia Martinez"/>
    <x v="0"/>
  </r>
  <r>
    <x v="21"/>
    <s v="CUST023"/>
    <x v="0"/>
    <x v="4"/>
    <n v="46"/>
    <n v="5"/>
    <n v="230"/>
    <s v="PayPal"/>
    <x v="2"/>
    <s v="USPS"/>
    <d v="2023-11-09T00:00:00"/>
    <m/>
    <m/>
    <x v="1"/>
    <s v="Home"/>
    <s v="NA"/>
    <s v="Charlotte Reed"/>
    <x v="0"/>
  </r>
  <r>
    <x v="22"/>
    <s v="CUST016"/>
    <x v="3"/>
    <x v="4"/>
    <n v="58"/>
    <n v="3"/>
    <n v="174"/>
    <s v="Amazon Pay"/>
    <x v="0"/>
    <s v="Amazon Logistics"/>
    <d v="2023-02-13T00:00:00"/>
    <m/>
    <d v="2023-02-14T00:00:00"/>
    <x v="0"/>
    <s v="Fashion"/>
    <s v="NA"/>
    <s v="Elijah Lewis"/>
    <x v="0"/>
  </r>
  <r>
    <x v="23"/>
    <s v="CUST028"/>
    <x v="9"/>
    <x v="4"/>
    <n v="96"/>
    <n v="5"/>
    <n v="480"/>
    <s v="Amazon Pay"/>
    <x v="1"/>
    <s v="Amazon Logistics"/>
    <d v="2023-11-02T00:00:00"/>
    <d v="2023-11-05T00:00:00"/>
    <m/>
    <x v="1"/>
    <s v="Fashion"/>
    <n v="3"/>
    <s v="Lily Bennett"/>
    <x v="2"/>
  </r>
  <r>
    <x v="24"/>
    <s v="CUST040"/>
    <x v="15"/>
    <x v="2"/>
    <n v="43"/>
    <n v="1"/>
    <n v="43"/>
    <s v="Debit Card"/>
    <x v="1"/>
    <s v="Amazon Logistics"/>
    <d v="2023-05-28T00:00:00"/>
    <d v="2023-05-30T00:00:00"/>
    <m/>
    <x v="1"/>
    <s v="Toys"/>
    <n v="2"/>
    <s v="Benjamin Clark"/>
    <x v="1"/>
  </r>
  <r>
    <x v="25"/>
    <s v="CUST027"/>
    <x v="16"/>
    <x v="2"/>
    <n v="64"/>
    <n v="4"/>
    <n v="256"/>
    <s v="Debit Card"/>
    <x v="1"/>
    <s v="USPS"/>
    <d v="2023-10-15T00:00:00"/>
    <d v="2023-10-21T00:00:00"/>
    <m/>
    <x v="1"/>
    <s v="Fashion"/>
    <n v="6"/>
    <s v="Hazel Brooks"/>
    <x v="2"/>
  </r>
  <r>
    <x v="26"/>
    <s v="CUST018"/>
    <x v="13"/>
    <x v="2"/>
    <n v="70"/>
    <n v="2"/>
    <n v="140"/>
    <s v="Amazon Pay"/>
    <x v="2"/>
    <s v="Amazon Logistics"/>
    <d v="2023-01-16T00:00:00"/>
    <m/>
    <m/>
    <x v="1"/>
    <s v="Books"/>
    <s v="NA"/>
    <s v="Grace Scott"/>
    <x v="0"/>
  </r>
  <r>
    <x v="27"/>
    <s v="CUST018"/>
    <x v="1"/>
    <x v="3"/>
    <n v="97"/>
    <n v="3"/>
    <n v="291"/>
    <s v="Credit Card"/>
    <x v="2"/>
    <s v="Amazon Logistics"/>
    <d v="2023-10-09T00:00:00"/>
    <m/>
    <m/>
    <x v="1"/>
    <s v="Toys"/>
    <s v="NA"/>
    <s v="Grace Scott"/>
    <x v="0"/>
  </r>
  <r>
    <x v="28"/>
    <s v="CUST007"/>
    <x v="5"/>
    <x v="1"/>
    <n v="37"/>
    <n v="3"/>
    <n v="111"/>
    <s v="Apple Pay"/>
    <x v="0"/>
    <s v="DHL"/>
    <d v="2023-10-07T00:00:00"/>
    <m/>
    <d v="2023-10-10T00:00:00"/>
    <x v="0"/>
    <s v="Home"/>
    <s v="NA"/>
    <s v="Liam Walker"/>
    <x v="0"/>
  </r>
  <r>
    <x v="29"/>
    <s v="CUST008"/>
    <x v="13"/>
    <x v="0"/>
    <n v="69"/>
    <n v="5"/>
    <n v="345"/>
    <s v="Amazon Pay"/>
    <x v="2"/>
    <s v="Amazon Logistics"/>
    <d v="2023-02-14T00:00:00"/>
    <m/>
    <m/>
    <x v="1"/>
    <s v="Books"/>
    <s v="NA"/>
    <s v="Harper Young"/>
    <x v="0"/>
  </r>
  <r>
    <x v="30"/>
    <s v="CUST014"/>
    <x v="15"/>
    <x v="0"/>
    <n v="42"/>
    <n v="5"/>
    <n v="210"/>
    <s v="Amazon Pay"/>
    <x v="2"/>
    <s v="UPS"/>
    <d v="2023-03-26T00:00:00"/>
    <m/>
    <m/>
    <x v="1"/>
    <s v="Toys"/>
    <s v="NA"/>
    <s v="Harper Young"/>
    <x v="0"/>
  </r>
  <r>
    <x v="31"/>
    <s v="CUST037"/>
    <x v="17"/>
    <x v="1"/>
    <n v="11"/>
    <n v="5"/>
    <n v="55"/>
    <s v="Debit Card"/>
    <x v="0"/>
    <s v="FedEx"/>
    <d v="2023-06-15T00:00:00"/>
    <m/>
    <d v="2023-06-22T00:00:00"/>
    <x v="0"/>
    <s v="Books"/>
    <s v="NA"/>
    <s v="Emily Johnson"/>
    <x v="0"/>
  </r>
  <r>
    <x v="32"/>
    <s v="CUST016"/>
    <x v="11"/>
    <x v="2"/>
    <n v="27"/>
    <n v="2"/>
    <n v="54"/>
    <s v="Apple Pay"/>
    <x v="1"/>
    <s v="USPS"/>
    <d v="2023-05-22T00:00:00"/>
    <d v="2023-05-23T00:00:00"/>
    <m/>
    <x v="1"/>
    <s v="Fashion"/>
    <n v="1"/>
    <s v="Elijah Lewis"/>
    <x v="1"/>
  </r>
  <r>
    <x v="33"/>
    <s v="CUST025"/>
    <x v="12"/>
    <x v="2"/>
    <n v="21"/>
    <n v="1"/>
    <n v="21"/>
    <s v="Amazon Pay"/>
    <x v="2"/>
    <s v="DHL"/>
    <d v="2023-11-20T00:00:00"/>
    <m/>
    <m/>
    <x v="1"/>
    <s v="Books"/>
    <s v="NA"/>
    <s v="Emma King"/>
    <x v="0"/>
  </r>
  <r>
    <x v="34"/>
    <s v="CUST032"/>
    <x v="18"/>
    <x v="2"/>
    <n v="172"/>
    <n v="1"/>
    <n v="172"/>
    <s v="PayPal"/>
    <x v="1"/>
    <s v="USPS"/>
    <d v="2023-12-22T00:00:00"/>
    <d v="2023-12-26T00:00:00"/>
    <m/>
    <x v="1"/>
    <s v="Electronics"/>
    <n v="4"/>
    <s v="Luke Gray"/>
    <x v="2"/>
  </r>
  <r>
    <x v="35"/>
    <s v="CUST014"/>
    <x v="19"/>
    <x v="0"/>
    <n v="212"/>
    <n v="3"/>
    <n v="636"/>
    <s v="Amazon Pay"/>
    <x v="2"/>
    <s v="UPS"/>
    <d v="2023-07-23T00:00:00"/>
    <m/>
    <m/>
    <x v="1"/>
    <s v="Home"/>
    <s v="NA"/>
    <s v="Harper Young"/>
    <x v="0"/>
  </r>
  <r>
    <x v="36"/>
    <s v="CUST044"/>
    <x v="15"/>
    <x v="1"/>
    <n v="41"/>
    <n v="4"/>
    <n v="164"/>
    <s v="Credit Card"/>
    <x v="1"/>
    <s v="Amazon Logistics"/>
    <d v="2023-10-17T00:00:00"/>
    <d v="2023-10-22T00:00:00"/>
    <m/>
    <x v="1"/>
    <s v="Toys"/>
    <n v="5"/>
    <s v="Grace Ward"/>
    <x v="2"/>
  </r>
  <r>
    <x v="37"/>
    <s v="CUST028"/>
    <x v="20"/>
    <x v="0"/>
    <n v="32"/>
    <n v="2"/>
    <n v="64"/>
    <s v="Debit Card"/>
    <x v="0"/>
    <s v="FedEx"/>
    <d v="2023-08-22T00:00:00"/>
    <m/>
    <d v="2023-08-24T00:00:00"/>
    <x v="0"/>
    <s v="Toys"/>
    <s v="NA"/>
    <s v="Lily Bennett"/>
    <x v="0"/>
  </r>
  <r>
    <x v="38"/>
    <s v="CUST024"/>
    <x v="16"/>
    <x v="1"/>
    <n v="66"/>
    <n v="2"/>
    <n v="132"/>
    <s v="Apple Pay"/>
    <x v="2"/>
    <s v="DHL"/>
    <d v="2023-12-02T00:00:00"/>
    <m/>
    <m/>
    <x v="1"/>
    <s v="Fashion"/>
    <s v="NA"/>
    <s v="Scarlett Murphy"/>
    <x v="0"/>
  </r>
  <r>
    <x v="39"/>
    <s v="CUST006"/>
    <x v="21"/>
    <x v="1"/>
    <n v="62"/>
    <n v="4"/>
    <n v="248"/>
    <s v="Debit Card"/>
    <x v="2"/>
    <s v="UPS"/>
    <d v="2023-12-25T00:00:00"/>
    <m/>
    <m/>
    <x v="1"/>
    <s v="Toys"/>
    <s v="NA"/>
    <s v="Ava Robinson"/>
    <x v="0"/>
  </r>
  <r>
    <x v="40"/>
    <s v="CUST001"/>
    <x v="18"/>
    <x v="4"/>
    <n v="173"/>
    <n v="4"/>
    <n v="692"/>
    <s v="Apple Pay"/>
    <x v="1"/>
    <s v="UPS"/>
    <d v="2023-09-23T00:00:00"/>
    <d v="2023-09-30T00:00:00"/>
    <m/>
    <x v="1"/>
    <s v="Electronics"/>
    <n v="7"/>
    <s v="James Miller"/>
    <x v="2"/>
  </r>
  <r>
    <x v="41"/>
    <s v="CUST007"/>
    <x v="21"/>
    <x v="4"/>
    <n v="63"/>
    <n v="3"/>
    <n v="189"/>
    <s v="Apple Pay"/>
    <x v="1"/>
    <s v="UPS"/>
    <d v="2023-07-16T00:00:00"/>
    <d v="2023-07-18T00:00:00"/>
    <m/>
    <x v="1"/>
    <s v="Toys"/>
    <n v="2"/>
    <s v="Liam Walker"/>
    <x v="1"/>
  </r>
  <r>
    <x v="42"/>
    <s v="CUST040"/>
    <x v="5"/>
    <x v="4"/>
    <n v="36"/>
    <n v="3"/>
    <n v="108"/>
    <s v="Debit Card"/>
    <x v="0"/>
    <s v="USPS"/>
    <d v="2023-02-05T00:00:00"/>
    <m/>
    <d v="2023-02-11T00:00:00"/>
    <x v="0"/>
    <s v="Home"/>
    <s v="NA"/>
    <s v="Benjamin Clark"/>
    <x v="0"/>
  </r>
  <r>
    <x v="43"/>
    <s v="CUST006"/>
    <x v="21"/>
    <x v="3"/>
    <n v="62"/>
    <n v="1"/>
    <n v="62"/>
    <s v="Apple Pay"/>
    <x v="0"/>
    <s v="Amazon Logistics"/>
    <d v="2023-12-18T00:00:00"/>
    <m/>
    <d v="2023-12-23T00:00:00"/>
    <x v="0"/>
    <s v="Toys"/>
    <s v="NA"/>
    <s v="Ava Robinson"/>
    <x v="0"/>
  </r>
  <r>
    <x v="44"/>
    <s v="CUST042"/>
    <x v="7"/>
    <x v="3"/>
    <n v="137"/>
    <n v="5"/>
    <n v="685"/>
    <s v="Amazon Pay"/>
    <x v="0"/>
    <s v="FedEx"/>
    <d v="2023-06-11T00:00:00"/>
    <m/>
    <d v="2023-06-14T00:00:00"/>
    <x v="0"/>
    <s v="Home"/>
    <s v="NA"/>
    <s v="Noah Wilson"/>
    <x v="0"/>
  </r>
  <r>
    <x v="45"/>
    <s v="CUST039"/>
    <x v="10"/>
    <x v="0"/>
    <n v="73"/>
    <n v="4"/>
    <n v="292"/>
    <s v="Credit Card"/>
    <x v="1"/>
    <s v="Amazon Logistics"/>
    <d v="2023-12-04T00:00:00"/>
    <d v="2023-12-08T00:00:00"/>
    <m/>
    <x v="1"/>
    <s v="Electronics"/>
    <n v="4"/>
    <s v="Logan Ramirez"/>
    <x v="2"/>
  </r>
  <r>
    <x v="46"/>
    <s v="CUST041"/>
    <x v="4"/>
    <x v="0"/>
    <n v="104"/>
    <n v="1"/>
    <n v="104"/>
    <s v="PayPal"/>
    <x v="1"/>
    <s v="Amazon Logistics"/>
    <d v="2023-07-17T00:00:00"/>
    <d v="2023-07-19T00:00:00"/>
    <m/>
    <x v="1"/>
    <s v="Electronics"/>
    <n v="2"/>
    <s v="Jacob Price"/>
    <x v="1"/>
  </r>
  <r>
    <x v="47"/>
    <s v="CUST044"/>
    <x v="9"/>
    <x v="1"/>
    <n v="97"/>
    <n v="1"/>
    <n v="97"/>
    <s v="Amazon Pay"/>
    <x v="1"/>
    <s v="FedEx"/>
    <d v="2023-10-19T00:00:00"/>
    <d v="2023-10-24T00:00:00"/>
    <m/>
    <x v="1"/>
    <s v="Fashion"/>
    <n v="5"/>
    <s v="Grace Ward"/>
    <x v="2"/>
  </r>
  <r>
    <x v="48"/>
    <s v="CUST026"/>
    <x v="10"/>
    <x v="2"/>
    <n v="73"/>
    <n v="5"/>
    <n v="365"/>
    <s v="Apple Pay"/>
    <x v="2"/>
    <s v="Amazon Logistics"/>
    <d v="2023-05-15T00:00:00"/>
    <m/>
    <m/>
    <x v="1"/>
    <s v="Electronics"/>
    <s v="NA"/>
    <s v="Zoe Mitchell"/>
    <x v="0"/>
  </r>
  <r>
    <x v="49"/>
    <s v="CUST040"/>
    <x v="11"/>
    <x v="1"/>
    <n v="27"/>
    <n v="3"/>
    <n v="81"/>
    <s v="Amazon Pay"/>
    <x v="1"/>
    <s v="UPS"/>
    <d v="2023-02-12T00:00:00"/>
    <d v="2023-02-19T00:00:00"/>
    <m/>
    <x v="1"/>
    <s v="Fashion"/>
    <n v="7"/>
    <s v="Benjamin Clark"/>
    <x v="2"/>
  </r>
  <r>
    <x v="50"/>
    <s v="CUST041"/>
    <x v="5"/>
    <x v="0"/>
    <n v="37"/>
    <n v="1"/>
    <n v="37"/>
    <s v="Apple Pay"/>
    <x v="2"/>
    <s v="UPS"/>
    <d v="2023-10-02T00:00:00"/>
    <m/>
    <m/>
    <x v="1"/>
    <s v="Home"/>
    <s v="NA"/>
    <s v="Jacob Price"/>
    <x v="0"/>
  </r>
  <r>
    <x v="51"/>
    <s v="CUST008"/>
    <x v="12"/>
    <x v="0"/>
    <n v="22"/>
    <n v="1"/>
    <n v="22"/>
    <s v="Debit Card"/>
    <x v="1"/>
    <s v="FedEx"/>
    <d v="2023-01-30T00:00:00"/>
    <d v="2023-02-01T00:00:00"/>
    <m/>
    <x v="1"/>
    <s v="Books"/>
    <n v="2"/>
    <s v="Harper Young"/>
    <x v="1"/>
  </r>
  <r>
    <x v="52"/>
    <s v="CUST011"/>
    <x v="19"/>
    <x v="3"/>
    <n v="218"/>
    <n v="5"/>
    <n v="1090"/>
    <s v="PayPal"/>
    <x v="1"/>
    <s v="DHL"/>
    <d v="2023-12-29T00:00:00"/>
    <d v="2024-01-01T00:00:00"/>
    <m/>
    <x v="1"/>
    <s v="Home"/>
    <n v="3"/>
    <s v="Mason Hall"/>
    <x v="2"/>
  </r>
  <r>
    <x v="53"/>
    <s v="CUST018"/>
    <x v="21"/>
    <x v="0"/>
    <n v="64"/>
    <n v="1"/>
    <n v="64"/>
    <s v="Apple Pay"/>
    <x v="0"/>
    <s v="USPS"/>
    <d v="2023-03-06T00:00:00"/>
    <m/>
    <d v="2023-03-13T00:00:00"/>
    <x v="0"/>
    <s v="Toys"/>
    <s v="NA"/>
    <s v="Grace Scott"/>
    <x v="0"/>
  </r>
  <r>
    <x v="54"/>
    <s v="CUST037"/>
    <x v="5"/>
    <x v="3"/>
    <n v="36"/>
    <n v="4"/>
    <n v="144"/>
    <s v="PayPal"/>
    <x v="1"/>
    <s v="Amazon Logistics"/>
    <d v="2023-02-02T00:00:00"/>
    <d v="2023-02-06T00:00:00"/>
    <m/>
    <x v="1"/>
    <s v="Home"/>
    <n v="4"/>
    <s v="Emily Johnson"/>
    <x v="2"/>
  </r>
  <r>
    <x v="55"/>
    <s v="CUST017"/>
    <x v="21"/>
    <x v="4"/>
    <n v="65"/>
    <n v="1"/>
    <n v="65"/>
    <s v="Amazon Pay"/>
    <x v="1"/>
    <s v="FedEx"/>
    <d v="2023-10-18T00:00:00"/>
    <d v="2023-10-21T00:00:00"/>
    <m/>
    <x v="1"/>
    <s v="Toys"/>
    <n v="3"/>
    <s v="Emma King"/>
    <x v="2"/>
  </r>
  <r>
    <x v="56"/>
    <s v="CUST025"/>
    <x v="11"/>
    <x v="3"/>
    <n v="26"/>
    <n v="1"/>
    <n v="26"/>
    <s v="Apple Pay"/>
    <x v="1"/>
    <s v="DHL"/>
    <d v="2023-01-07T00:00:00"/>
    <d v="2023-01-09T00:00:00"/>
    <m/>
    <x v="1"/>
    <s v="Fashion"/>
    <n v="2"/>
    <s v="Emma King"/>
    <x v="1"/>
  </r>
  <r>
    <x v="57"/>
    <s v="CUST021"/>
    <x v="17"/>
    <x v="0"/>
    <n v="11"/>
    <n v="5"/>
    <n v="55"/>
    <s v="Credit Card"/>
    <x v="2"/>
    <s v="FedEx"/>
    <d v="2023-05-08T00:00:00"/>
    <m/>
    <m/>
    <x v="1"/>
    <s v="Books"/>
    <s v="NA"/>
    <s v="Zoe Mitchell"/>
    <x v="0"/>
  </r>
  <r>
    <x v="58"/>
    <s v="CUST003"/>
    <x v="2"/>
    <x v="0"/>
    <n v="195"/>
    <n v="4"/>
    <n v="780"/>
    <s v="PayPal"/>
    <x v="0"/>
    <s v="FedEx"/>
    <d v="2023-04-02T00:00:00"/>
    <m/>
    <d v="2023-04-05T00:00:00"/>
    <x v="0"/>
    <s v="Home"/>
    <s v="NA"/>
    <s v="Ethan Davis"/>
    <x v="0"/>
  </r>
  <r>
    <x v="59"/>
    <s v="CUST019"/>
    <x v="6"/>
    <x v="4"/>
    <n v="44"/>
    <n v="5"/>
    <n v="220"/>
    <s v="Apple Pay"/>
    <x v="0"/>
    <s v="USPS"/>
    <d v="2023-10-11T00:00:00"/>
    <m/>
    <d v="2023-10-12T00:00:00"/>
    <x v="0"/>
    <s v="Fashion"/>
    <s v="NA"/>
    <s v="Ava Robinson"/>
    <x v="0"/>
  </r>
  <r>
    <x v="60"/>
    <s v="CUST035"/>
    <x v="13"/>
    <x v="1"/>
    <n v="69"/>
    <n v="4"/>
    <n v="276"/>
    <s v="Debit Card"/>
    <x v="2"/>
    <s v="DHL"/>
    <d v="2023-09-10T00:00:00"/>
    <m/>
    <m/>
    <x v="1"/>
    <s v="Books"/>
    <s v="NA"/>
    <s v="Scarlett Adams"/>
    <x v="0"/>
  </r>
  <r>
    <x v="61"/>
    <s v="CUST022"/>
    <x v="14"/>
    <x v="0"/>
    <n v="815"/>
    <n v="4"/>
    <n v="3260"/>
    <s v="Credit Card"/>
    <x v="1"/>
    <s v="USPS"/>
    <d v="2023-11-22T00:00:00"/>
    <d v="2023-11-29T00:00:00"/>
    <m/>
    <x v="1"/>
    <s v="Electronics"/>
    <n v="7"/>
    <s v="Elijah Lewis"/>
    <x v="2"/>
  </r>
  <r>
    <x v="62"/>
    <s v="CUST004"/>
    <x v="11"/>
    <x v="1"/>
    <n v="27"/>
    <n v="1"/>
    <n v="27"/>
    <s v="Debit Card"/>
    <x v="2"/>
    <s v="Amazon Logistics"/>
    <d v="2023-05-02T00:00:00"/>
    <m/>
    <m/>
    <x v="1"/>
    <s v="Fashion"/>
    <s v="NA"/>
    <s v="Noah Wilson"/>
    <x v="0"/>
  </r>
  <r>
    <x v="63"/>
    <s v="CUST048"/>
    <x v="7"/>
    <x v="4"/>
    <n v="139"/>
    <n v="5"/>
    <n v="695"/>
    <s v="Apple Pay"/>
    <x v="1"/>
    <s v="USPS"/>
    <d v="2023-12-25T00:00:00"/>
    <d v="2023-12-29T00:00:00"/>
    <m/>
    <x v="1"/>
    <s v="Home"/>
    <n v="4"/>
    <s v="Noah Wilson"/>
    <x v="2"/>
  </r>
  <r>
    <x v="64"/>
    <s v="CUST009"/>
    <x v="13"/>
    <x v="2"/>
    <n v="69"/>
    <n v="3"/>
    <n v="207"/>
    <s v="PayPal"/>
    <x v="0"/>
    <s v="Amazon Logistics"/>
    <d v="2023-10-18T00:00:00"/>
    <m/>
    <d v="2023-10-20T00:00:00"/>
    <x v="0"/>
    <s v="Books"/>
    <s v="NA"/>
    <s v="Jackson Allen"/>
    <x v="0"/>
  </r>
  <r>
    <x v="65"/>
    <s v="CUST009"/>
    <x v="6"/>
    <x v="4"/>
    <n v="42"/>
    <n v="1"/>
    <n v="42"/>
    <s v="Apple Pay"/>
    <x v="0"/>
    <s v="DHL"/>
    <d v="2023-05-20T00:00:00"/>
    <m/>
    <d v="2023-05-21T00:00:00"/>
    <x v="0"/>
    <s v="Fashion"/>
    <s v="NA"/>
    <s v="Jackson Allen"/>
    <x v="0"/>
  </r>
  <r>
    <x v="66"/>
    <s v="CUST050"/>
    <x v="20"/>
    <x v="0"/>
    <n v="31"/>
    <n v="4"/>
    <n v="124"/>
    <s v="Credit Card"/>
    <x v="1"/>
    <s v="UPS"/>
    <d v="2023-07-28T00:00:00"/>
    <d v="2023-07-30T00:00:00"/>
    <m/>
    <x v="1"/>
    <s v="Toys"/>
    <n v="2"/>
    <e v="#N/A"/>
    <x v="1"/>
  </r>
  <r>
    <x v="67"/>
    <s v="CUST045"/>
    <x v="4"/>
    <x v="4"/>
    <n v="104"/>
    <n v="3"/>
    <n v="312"/>
    <s v="Credit Card"/>
    <x v="2"/>
    <s v="UPS"/>
    <d v="2023-12-18T00:00:00"/>
    <m/>
    <m/>
    <x v="1"/>
    <s v="Electronics"/>
    <s v="NA"/>
    <s v="Emily Johnson"/>
    <x v="0"/>
  </r>
  <r>
    <x v="68"/>
    <s v="CUST044"/>
    <x v="3"/>
    <x v="1"/>
    <n v="58"/>
    <n v="2"/>
    <n v="116"/>
    <s v="Apple Pay"/>
    <x v="0"/>
    <s v="USPS"/>
    <d v="2023-07-02T00:00:00"/>
    <m/>
    <d v="2023-07-07T00:00:00"/>
    <x v="0"/>
    <s v="Fashion"/>
    <s v="NA"/>
    <s v="Grace Ward"/>
    <x v="0"/>
  </r>
  <r>
    <x v="69"/>
    <s v="CUST009"/>
    <x v="21"/>
    <x v="4"/>
    <n v="62"/>
    <n v="2"/>
    <n v="124"/>
    <s v="Debit Card"/>
    <x v="0"/>
    <s v="DHL"/>
    <d v="2023-10-09T00:00:00"/>
    <m/>
    <d v="2023-10-10T00:00:00"/>
    <x v="0"/>
    <s v="Toys"/>
    <s v="NA"/>
    <s v="Jackson Allen"/>
    <x v="0"/>
  </r>
  <r>
    <x v="70"/>
    <s v="CUST006"/>
    <x v="6"/>
    <x v="1"/>
    <n v="43"/>
    <n v="1"/>
    <n v="43"/>
    <s v="Credit Card"/>
    <x v="1"/>
    <s v="Amazon Logistics"/>
    <d v="2023-12-18T00:00:00"/>
    <d v="2023-12-25T00:00:00"/>
    <m/>
    <x v="1"/>
    <s v="Fashion"/>
    <n v="7"/>
    <s v="Ava Robinson"/>
    <x v="2"/>
  </r>
  <r>
    <x v="71"/>
    <s v="CUST022"/>
    <x v="21"/>
    <x v="1"/>
    <n v="62"/>
    <n v="4"/>
    <n v="248"/>
    <s v="Debit Card"/>
    <x v="2"/>
    <s v="Amazon Logistics"/>
    <d v="2023-03-07T00:00:00"/>
    <m/>
    <m/>
    <x v="1"/>
    <s v="Toys"/>
    <s v="NA"/>
    <s v="Elijah Lewis"/>
    <x v="0"/>
  </r>
  <r>
    <x v="72"/>
    <s v="CUST028"/>
    <x v="9"/>
    <x v="0"/>
    <n v="95"/>
    <n v="2"/>
    <n v="190"/>
    <s v="PayPal"/>
    <x v="0"/>
    <s v="UPS"/>
    <d v="2023-07-22T00:00:00"/>
    <m/>
    <d v="2023-07-25T00:00:00"/>
    <x v="0"/>
    <s v="Fashion"/>
    <s v="NA"/>
    <s v="Lily Bennett"/>
    <x v="0"/>
  </r>
  <r>
    <x v="73"/>
    <s v="CUST016"/>
    <x v="5"/>
    <x v="3"/>
    <n v="36"/>
    <n v="4"/>
    <n v="144"/>
    <s v="Apple Pay"/>
    <x v="1"/>
    <s v="FedEx"/>
    <d v="2023-01-18T00:00:00"/>
    <d v="2023-01-24T00:00:00"/>
    <m/>
    <x v="1"/>
    <s v="Home"/>
    <n v="6"/>
    <s v="Elijah Lewis"/>
    <x v="2"/>
  </r>
  <r>
    <x v="74"/>
    <s v="CUST042"/>
    <x v="10"/>
    <x v="1"/>
    <n v="73"/>
    <n v="5"/>
    <n v="365"/>
    <s v="Apple Pay"/>
    <x v="2"/>
    <s v="DHL"/>
    <d v="2023-05-24T00:00:00"/>
    <m/>
    <m/>
    <x v="1"/>
    <s v="Electronics"/>
    <s v="NA"/>
    <s v="Noah Wilson"/>
    <x v="0"/>
  </r>
  <r>
    <x v="75"/>
    <s v="CUST023"/>
    <x v="6"/>
    <x v="0"/>
    <n v="43"/>
    <n v="4"/>
    <n v="172"/>
    <s v="Debit Card"/>
    <x v="1"/>
    <s v="DHL"/>
    <d v="2023-09-03T00:00:00"/>
    <d v="2023-09-09T00:00:00"/>
    <m/>
    <x v="1"/>
    <s v="Fashion"/>
    <n v="6"/>
    <s v="Charlotte Reed"/>
    <x v="2"/>
  </r>
  <r>
    <x v="76"/>
    <s v="CUST004"/>
    <x v="19"/>
    <x v="4"/>
    <n v="214"/>
    <n v="5"/>
    <n v="1070"/>
    <s v="Debit Card"/>
    <x v="1"/>
    <s v="UPS"/>
    <d v="2023-11-02T00:00:00"/>
    <d v="2023-11-04T00:00:00"/>
    <m/>
    <x v="1"/>
    <s v="Home"/>
    <n v="2"/>
    <s v="Noah Wilson"/>
    <x v="1"/>
  </r>
  <r>
    <x v="77"/>
    <s v="CUST048"/>
    <x v="15"/>
    <x v="3"/>
    <n v="42"/>
    <n v="2"/>
    <n v="84"/>
    <s v="Apple Pay"/>
    <x v="0"/>
    <s v="UPS"/>
    <d v="2023-12-03T00:00:00"/>
    <m/>
    <d v="2023-12-06T00:00:00"/>
    <x v="0"/>
    <s v="Toys"/>
    <s v="NA"/>
    <s v="Noah Wilson"/>
    <x v="0"/>
  </r>
  <r>
    <x v="78"/>
    <s v="CUST048"/>
    <x v="0"/>
    <x v="0"/>
    <n v="46"/>
    <n v="1"/>
    <n v="46"/>
    <s v="Amazon Pay"/>
    <x v="2"/>
    <s v="UPS"/>
    <d v="2023-04-01T00:00:00"/>
    <m/>
    <m/>
    <x v="1"/>
    <s v="Home"/>
    <s v="NA"/>
    <s v="Noah Wilson"/>
    <x v="0"/>
  </r>
  <r>
    <x v="79"/>
    <s v="CUST032"/>
    <x v="1"/>
    <x v="1"/>
    <n v="95"/>
    <n v="4"/>
    <n v="380"/>
    <s v="Credit Card"/>
    <x v="1"/>
    <s v="UPS"/>
    <d v="2023-10-16T00:00:00"/>
    <d v="2023-10-19T00:00:00"/>
    <m/>
    <x v="1"/>
    <s v="Toys"/>
    <n v="3"/>
    <s v="Luke Gray"/>
    <x v="2"/>
  </r>
  <r>
    <x v="80"/>
    <s v="CUST001"/>
    <x v="18"/>
    <x v="4"/>
    <n v="174"/>
    <n v="2"/>
    <n v="348"/>
    <s v="PayPal"/>
    <x v="2"/>
    <s v="UPS"/>
    <d v="2023-11-05T00:00:00"/>
    <m/>
    <m/>
    <x v="1"/>
    <s v="Electronics"/>
    <s v="NA"/>
    <s v="James Miller"/>
    <x v="0"/>
  </r>
  <r>
    <x v="81"/>
    <s v="CUST046"/>
    <x v="11"/>
    <x v="0"/>
    <n v="27"/>
    <n v="5"/>
    <n v="135"/>
    <s v="Credit Card"/>
    <x v="0"/>
    <s v="Amazon Logistics"/>
    <d v="2023-06-15T00:00:00"/>
    <m/>
    <d v="2023-06-18T00:00:00"/>
    <x v="0"/>
    <s v="Fashion"/>
    <s v="NA"/>
    <s v="Emily Johnson"/>
    <x v="0"/>
  </r>
  <r>
    <x v="82"/>
    <s v="CUST021"/>
    <x v="11"/>
    <x v="2"/>
    <n v="27"/>
    <n v="4"/>
    <n v="108"/>
    <s v="PayPal"/>
    <x v="1"/>
    <s v="USPS"/>
    <d v="2023-10-28T00:00:00"/>
    <d v="2023-10-30T00:00:00"/>
    <m/>
    <x v="1"/>
    <s v="Fashion"/>
    <n v="2"/>
    <s v="Zoe Mitchell"/>
    <x v="1"/>
  </r>
  <r>
    <x v="83"/>
    <s v="CUST015"/>
    <x v="16"/>
    <x v="2"/>
    <n v="65"/>
    <n v="2"/>
    <n v="130"/>
    <s v="PayPal"/>
    <x v="2"/>
    <s v="DHL"/>
    <d v="2023-12-22T00:00:00"/>
    <m/>
    <m/>
    <x v="1"/>
    <s v="Fashion"/>
    <s v="NA"/>
    <s v="Ava White"/>
    <x v="0"/>
  </r>
  <r>
    <x v="84"/>
    <s v="CUST045"/>
    <x v="6"/>
    <x v="1"/>
    <n v="43"/>
    <n v="5"/>
    <n v="215"/>
    <s v="Debit Card"/>
    <x v="2"/>
    <s v="DHL"/>
    <d v="2023-03-07T00:00:00"/>
    <m/>
    <m/>
    <x v="1"/>
    <s v="Fashion"/>
    <s v="NA"/>
    <s v="Emily Johnson"/>
    <x v="0"/>
  </r>
  <r>
    <x v="85"/>
    <s v="CUST007"/>
    <x v="19"/>
    <x v="4"/>
    <n v="210"/>
    <n v="1"/>
    <n v="210"/>
    <s v="PayPal"/>
    <x v="2"/>
    <s v="UPS"/>
    <d v="2023-11-10T00:00:00"/>
    <m/>
    <m/>
    <x v="1"/>
    <s v="Home"/>
    <s v="NA"/>
    <s v="Liam Walker"/>
    <x v="0"/>
  </r>
  <r>
    <x v="86"/>
    <s v="CUST043"/>
    <x v="5"/>
    <x v="2"/>
    <n v="37"/>
    <n v="3"/>
    <n v="111"/>
    <s v="Credit Card"/>
    <x v="2"/>
    <s v="UPS"/>
    <d v="2023-11-22T00:00:00"/>
    <m/>
    <m/>
    <x v="1"/>
    <s v="Home"/>
    <s v="NA"/>
    <s v="Lily Reed"/>
    <x v="0"/>
  </r>
  <r>
    <x v="87"/>
    <s v="CUST007"/>
    <x v="14"/>
    <x v="2"/>
    <n v="788"/>
    <n v="4"/>
    <n v="3152"/>
    <s v="Debit Card"/>
    <x v="2"/>
    <s v="Amazon Logistics"/>
    <d v="2023-05-08T00:00:00"/>
    <m/>
    <m/>
    <x v="1"/>
    <s v="Electronics"/>
    <s v="NA"/>
    <s v="Liam Walker"/>
    <x v="0"/>
  </r>
  <r>
    <x v="88"/>
    <s v="CUST007"/>
    <x v="19"/>
    <x v="4"/>
    <n v="217"/>
    <n v="5"/>
    <n v="1085"/>
    <s v="Debit Card"/>
    <x v="2"/>
    <s v="FedEx"/>
    <d v="2023-07-13T00:00:00"/>
    <m/>
    <m/>
    <x v="1"/>
    <s v="Home"/>
    <s v="NA"/>
    <s v="Liam Walker"/>
    <x v="0"/>
  </r>
  <r>
    <x v="89"/>
    <s v="CUST007"/>
    <x v="7"/>
    <x v="4"/>
    <n v="138"/>
    <n v="4"/>
    <n v="552"/>
    <s v="Credit Card"/>
    <x v="2"/>
    <s v="FedEx"/>
    <d v="2023-01-18T00:00:00"/>
    <m/>
    <m/>
    <x v="1"/>
    <s v="Home"/>
    <s v="NA"/>
    <s v="Liam Walker"/>
    <x v="0"/>
  </r>
  <r>
    <x v="90"/>
    <s v="CUST031"/>
    <x v="14"/>
    <x v="3"/>
    <n v="803"/>
    <n v="2"/>
    <n v="1606"/>
    <s v="Apple Pay"/>
    <x v="1"/>
    <s v="FedEx"/>
    <d v="2023-06-23T00:00:00"/>
    <d v="2023-06-29T00:00:00"/>
    <m/>
    <x v="1"/>
    <s v="Electronics"/>
    <n v="6"/>
    <s v="Mason Collins"/>
    <x v="2"/>
  </r>
  <r>
    <x v="91"/>
    <s v="CUST013"/>
    <x v="8"/>
    <x v="0"/>
    <n v="248"/>
    <n v="5"/>
    <n v="1240"/>
    <s v="PayPal"/>
    <x v="0"/>
    <s v="UPS"/>
    <d v="2023-02-21T00:00:00"/>
    <m/>
    <d v="2023-02-25T00:00:00"/>
    <x v="0"/>
    <s v="Electronics"/>
    <s v="NA"/>
    <s v="Olivia Martinez"/>
    <x v="0"/>
  </r>
  <r>
    <x v="92"/>
    <s v="CUST036"/>
    <x v="19"/>
    <x v="1"/>
    <n v="210"/>
    <n v="3"/>
    <n v="630"/>
    <s v="Apple Pay"/>
    <x v="1"/>
    <s v="DHL"/>
    <d v="2023-02-19T00:00:00"/>
    <d v="2023-02-21T00:00:00"/>
    <m/>
    <x v="1"/>
    <s v="Home"/>
    <n v="2"/>
    <s v="Ethan Davis"/>
    <x v="1"/>
  </r>
  <r>
    <x v="93"/>
    <s v="CUST013"/>
    <x v="21"/>
    <x v="0"/>
    <n v="62"/>
    <n v="2"/>
    <n v="124"/>
    <s v="Credit Card"/>
    <x v="0"/>
    <s v="FedEx"/>
    <d v="2023-12-05T00:00:00"/>
    <m/>
    <d v="2023-12-12T00:00:00"/>
    <x v="0"/>
    <s v="Toys"/>
    <s v="NA"/>
    <s v="Olivia Martinez"/>
    <x v="0"/>
  </r>
  <r>
    <x v="94"/>
    <s v="CUST043"/>
    <x v="17"/>
    <x v="2"/>
    <n v="11"/>
    <n v="5"/>
    <n v="55"/>
    <s v="Debit Card"/>
    <x v="0"/>
    <s v="Amazon Logistics"/>
    <d v="2023-06-07T00:00:00"/>
    <m/>
    <d v="2023-06-12T00:00:00"/>
    <x v="0"/>
    <s v="Books"/>
    <s v="NA"/>
    <s v="Lily Reed"/>
    <x v="0"/>
  </r>
  <r>
    <x v="95"/>
    <s v="CUST017"/>
    <x v="12"/>
    <x v="0"/>
    <n v="21"/>
    <n v="2"/>
    <n v="42"/>
    <s v="Amazon Pay"/>
    <x v="1"/>
    <s v="UPS"/>
    <d v="2023-07-09T00:00:00"/>
    <d v="2023-07-12T00:00:00"/>
    <m/>
    <x v="1"/>
    <s v="Books"/>
    <n v="3"/>
    <s v="Emma King"/>
    <x v="2"/>
  </r>
  <r>
    <x v="96"/>
    <s v="CUST023"/>
    <x v="1"/>
    <x v="4"/>
    <n v="95"/>
    <n v="5"/>
    <n v="475"/>
    <s v="Amazon Pay"/>
    <x v="1"/>
    <s v="Amazon Logistics"/>
    <d v="2023-12-23T00:00:00"/>
    <d v="2023-12-26T00:00:00"/>
    <m/>
    <x v="1"/>
    <s v="Toys"/>
    <n v="3"/>
    <s v="Charlotte Reed"/>
    <x v="2"/>
  </r>
  <r>
    <x v="97"/>
    <s v="CUST044"/>
    <x v="19"/>
    <x v="2"/>
    <n v="215"/>
    <n v="2"/>
    <n v="430"/>
    <s v="PayPal"/>
    <x v="1"/>
    <s v="Amazon Logistics"/>
    <d v="2023-09-25T00:00:00"/>
    <d v="2023-09-30T00:00:00"/>
    <m/>
    <x v="1"/>
    <s v="Home"/>
    <n v="5"/>
    <s v="Grace Ward"/>
    <x v="2"/>
  </r>
  <r>
    <x v="98"/>
    <s v="CUST034"/>
    <x v="6"/>
    <x v="4"/>
    <n v="43"/>
    <n v="5"/>
    <n v="215"/>
    <s v="Credit Card"/>
    <x v="0"/>
    <s v="UPS"/>
    <d v="2023-01-18T00:00:00"/>
    <m/>
    <d v="2023-01-24T00:00:00"/>
    <x v="0"/>
    <s v="Fashion"/>
    <s v="NA"/>
    <s v="Lily Simmons"/>
    <x v="0"/>
  </r>
  <r>
    <x v="99"/>
    <s v="CUST009"/>
    <x v="15"/>
    <x v="4"/>
    <n v="42"/>
    <n v="4"/>
    <n v="168"/>
    <s v="Debit Card"/>
    <x v="2"/>
    <s v="DHL"/>
    <d v="2023-03-27T00:00:00"/>
    <m/>
    <m/>
    <x v="1"/>
    <s v="Toys"/>
    <s v="NA"/>
    <s v="Jackson Allen"/>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x v="0"/>
    <x v="0"/>
    <n v="44"/>
    <n v="1"/>
    <n v="44"/>
    <x v="0"/>
    <x v="0"/>
    <x v="0"/>
    <x v="0"/>
    <x v="0"/>
    <x v="0"/>
    <x v="0"/>
    <x v="0"/>
    <x v="0"/>
    <s v="Zoe Mitchell"/>
    <x v="0"/>
    <x v="0"/>
  </r>
  <r>
    <x v="1"/>
    <s v="CUST029"/>
    <x v="1"/>
    <x v="1"/>
    <n v="96"/>
    <n v="4"/>
    <n v="384"/>
    <x v="1"/>
    <x v="1"/>
    <x v="0"/>
    <x v="1"/>
    <x v="1"/>
    <x v="1"/>
    <x v="1"/>
    <x v="1"/>
    <x v="1"/>
    <s v="Ava White"/>
    <x v="1"/>
    <x v="1"/>
  </r>
  <r>
    <x v="2"/>
    <s v="CUST021"/>
    <x v="2"/>
    <x v="2"/>
    <n v="194"/>
    <n v="4"/>
    <n v="776"/>
    <x v="1"/>
    <x v="2"/>
    <x v="1"/>
    <x v="2"/>
    <x v="0"/>
    <x v="1"/>
    <x v="1"/>
    <x v="0"/>
    <x v="0"/>
    <s v="Zoe Mitchell"/>
    <x v="0"/>
    <x v="2"/>
  </r>
  <r>
    <x v="3"/>
    <s v="CUST044"/>
    <x v="2"/>
    <x v="0"/>
    <n v="196"/>
    <n v="3"/>
    <n v="588"/>
    <x v="2"/>
    <x v="0"/>
    <x v="2"/>
    <x v="3"/>
    <x v="0"/>
    <x v="2"/>
    <x v="0"/>
    <x v="0"/>
    <x v="0"/>
    <s v="Grace Ward"/>
    <x v="0"/>
    <x v="2"/>
  </r>
  <r>
    <x v="4"/>
    <s v="CUST027"/>
    <x v="3"/>
    <x v="0"/>
    <n v="59"/>
    <n v="1"/>
    <n v="59"/>
    <x v="2"/>
    <x v="1"/>
    <x v="3"/>
    <x v="4"/>
    <x v="2"/>
    <x v="1"/>
    <x v="1"/>
    <x v="2"/>
    <x v="2"/>
    <s v="Hazel Brooks"/>
    <x v="2"/>
    <x v="3"/>
  </r>
  <r>
    <x v="5"/>
    <s v="CUST009"/>
    <x v="3"/>
    <x v="0"/>
    <n v="58"/>
    <n v="4"/>
    <n v="232"/>
    <x v="3"/>
    <x v="0"/>
    <x v="0"/>
    <x v="5"/>
    <x v="0"/>
    <x v="3"/>
    <x v="0"/>
    <x v="2"/>
    <x v="0"/>
    <s v="Jackson Allen"/>
    <x v="0"/>
    <x v="3"/>
  </r>
  <r>
    <x v="6"/>
    <s v="CUST042"/>
    <x v="4"/>
    <x v="3"/>
    <n v="105"/>
    <n v="3"/>
    <n v="315"/>
    <x v="4"/>
    <x v="0"/>
    <x v="0"/>
    <x v="6"/>
    <x v="0"/>
    <x v="4"/>
    <x v="0"/>
    <x v="3"/>
    <x v="0"/>
    <s v="Noah Wilson"/>
    <x v="0"/>
    <x v="4"/>
  </r>
  <r>
    <x v="7"/>
    <s v="CUST019"/>
    <x v="5"/>
    <x v="4"/>
    <n v="37"/>
    <n v="5"/>
    <n v="185"/>
    <x v="2"/>
    <x v="0"/>
    <x v="0"/>
    <x v="7"/>
    <x v="0"/>
    <x v="5"/>
    <x v="0"/>
    <x v="0"/>
    <x v="0"/>
    <s v="Ava Robinson"/>
    <x v="0"/>
    <x v="5"/>
  </r>
  <r>
    <x v="8"/>
    <s v="CUST013"/>
    <x v="6"/>
    <x v="3"/>
    <n v="44"/>
    <n v="2"/>
    <n v="88"/>
    <x v="1"/>
    <x v="2"/>
    <x v="3"/>
    <x v="8"/>
    <x v="0"/>
    <x v="1"/>
    <x v="1"/>
    <x v="2"/>
    <x v="0"/>
    <s v="Olivia Martinez"/>
    <x v="0"/>
    <x v="6"/>
  </r>
  <r>
    <x v="9"/>
    <s v="CUST019"/>
    <x v="7"/>
    <x v="2"/>
    <n v="141"/>
    <n v="4"/>
    <n v="564"/>
    <x v="4"/>
    <x v="2"/>
    <x v="0"/>
    <x v="9"/>
    <x v="0"/>
    <x v="1"/>
    <x v="1"/>
    <x v="0"/>
    <x v="0"/>
    <s v="Ava Robinson"/>
    <x v="0"/>
    <x v="7"/>
  </r>
  <r>
    <x v="10"/>
    <s v="CUST046"/>
    <x v="8"/>
    <x v="2"/>
    <n v="249"/>
    <n v="1"/>
    <n v="249"/>
    <x v="3"/>
    <x v="0"/>
    <x v="1"/>
    <x v="10"/>
    <x v="0"/>
    <x v="6"/>
    <x v="0"/>
    <x v="3"/>
    <x v="0"/>
    <s v="Emily Johnson"/>
    <x v="0"/>
    <x v="8"/>
  </r>
  <r>
    <x v="11"/>
    <s v="CUST045"/>
    <x v="8"/>
    <x v="3"/>
    <n v="247"/>
    <n v="3"/>
    <n v="741"/>
    <x v="3"/>
    <x v="2"/>
    <x v="4"/>
    <x v="11"/>
    <x v="0"/>
    <x v="1"/>
    <x v="1"/>
    <x v="3"/>
    <x v="0"/>
    <s v="Emily Johnson"/>
    <x v="0"/>
    <x v="8"/>
  </r>
  <r>
    <x v="12"/>
    <s v="CUST023"/>
    <x v="9"/>
    <x v="3"/>
    <n v="96"/>
    <n v="1"/>
    <n v="96"/>
    <x v="0"/>
    <x v="0"/>
    <x v="3"/>
    <x v="12"/>
    <x v="0"/>
    <x v="7"/>
    <x v="0"/>
    <x v="2"/>
    <x v="0"/>
    <s v="Charlotte Reed"/>
    <x v="0"/>
    <x v="9"/>
  </r>
  <r>
    <x v="13"/>
    <s v="CUST033"/>
    <x v="10"/>
    <x v="4"/>
    <n v="74"/>
    <n v="5"/>
    <n v="370"/>
    <x v="0"/>
    <x v="0"/>
    <x v="3"/>
    <x v="13"/>
    <x v="0"/>
    <x v="8"/>
    <x v="0"/>
    <x v="3"/>
    <x v="0"/>
    <s v="Hazel Rivera"/>
    <x v="0"/>
    <x v="10"/>
  </r>
  <r>
    <x v="14"/>
    <s v="CUST033"/>
    <x v="11"/>
    <x v="2"/>
    <n v="27"/>
    <n v="1"/>
    <n v="27"/>
    <x v="1"/>
    <x v="0"/>
    <x v="3"/>
    <x v="14"/>
    <x v="0"/>
    <x v="9"/>
    <x v="0"/>
    <x v="2"/>
    <x v="0"/>
    <s v="Hazel Rivera"/>
    <x v="0"/>
    <x v="11"/>
  </r>
  <r>
    <x v="15"/>
    <s v="CUST047"/>
    <x v="11"/>
    <x v="2"/>
    <n v="27"/>
    <n v="3"/>
    <n v="81"/>
    <x v="4"/>
    <x v="2"/>
    <x v="3"/>
    <x v="15"/>
    <x v="0"/>
    <x v="1"/>
    <x v="1"/>
    <x v="2"/>
    <x v="0"/>
    <s v="Scarlett Murphy"/>
    <x v="0"/>
    <x v="11"/>
  </r>
  <r>
    <x v="16"/>
    <s v="CUST045"/>
    <x v="12"/>
    <x v="1"/>
    <n v="21"/>
    <n v="3"/>
    <n v="63"/>
    <x v="1"/>
    <x v="1"/>
    <x v="0"/>
    <x v="16"/>
    <x v="3"/>
    <x v="1"/>
    <x v="1"/>
    <x v="4"/>
    <x v="2"/>
    <s v="Emily Johnson"/>
    <x v="2"/>
    <x v="12"/>
  </r>
  <r>
    <x v="17"/>
    <s v="CUST011"/>
    <x v="13"/>
    <x v="4"/>
    <n v="70"/>
    <n v="5"/>
    <n v="350"/>
    <x v="2"/>
    <x v="2"/>
    <x v="3"/>
    <x v="17"/>
    <x v="0"/>
    <x v="1"/>
    <x v="1"/>
    <x v="4"/>
    <x v="0"/>
    <s v="Mason Hall"/>
    <x v="0"/>
    <x v="13"/>
  </r>
  <r>
    <x v="18"/>
    <s v="CUST041"/>
    <x v="9"/>
    <x v="2"/>
    <n v="94"/>
    <n v="4"/>
    <n v="376"/>
    <x v="1"/>
    <x v="2"/>
    <x v="1"/>
    <x v="18"/>
    <x v="0"/>
    <x v="1"/>
    <x v="1"/>
    <x v="2"/>
    <x v="0"/>
    <s v="Jacob Price"/>
    <x v="0"/>
    <x v="9"/>
  </r>
  <r>
    <x v="19"/>
    <s v="CUST025"/>
    <x v="14"/>
    <x v="0"/>
    <n v="813"/>
    <n v="2"/>
    <n v="1626"/>
    <x v="1"/>
    <x v="2"/>
    <x v="4"/>
    <x v="19"/>
    <x v="0"/>
    <x v="1"/>
    <x v="1"/>
    <x v="3"/>
    <x v="0"/>
    <s v="Emma King"/>
    <x v="0"/>
    <x v="14"/>
  </r>
  <r>
    <x v="20"/>
    <s v="CUST013"/>
    <x v="12"/>
    <x v="3"/>
    <n v="21"/>
    <n v="4"/>
    <n v="84"/>
    <x v="2"/>
    <x v="2"/>
    <x v="3"/>
    <x v="20"/>
    <x v="0"/>
    <x v="1"/>
    <x v="1"/>
    <x v="4"/>
    <x v="0"/>
    <s v="Olivia Martinez"/>
    <x v="0"/>
    <x v="12"/>
  </r>
  <r>
    <x v="21"/>
    <s v="CUST023"/>
    <x v="0"/>
    <x v="4"/>
    <n v="46"/>
    <n v="5"/>
    <n v="230"/>
    <x v="2"/>
    <x v="2"/>
    <x v="1"/>
    <x v="21"/>
    <x v="0"/>
    <x v="1"/>
    <x v="1"/>
    <x v="0"/>
    <x v="0"/>
    <s v="Charlotte Reed"/>
    <x v="0"/>
    <x v="0"/>
  </r>
  <r>
    <x v="22"/>
    <s v="CUST016"/>
    <x v="3"/>
    <x v="4"/>
    <n v="58"/>
    <n v="3"/>
    <n v="174"/>
    <x v="3"/>
    <x v="0"/>
    <x v="3"/>
    <x v="15"/>
    <x v="0"/>
    <x v="10"/>
    <x v="0"/>
    <x v="2"/>
    <x v="0"/>
    <s v="Elijah Lewis"/>
    <x v="0"/>
    <x v="3"/>
  </r>
  <r>
    <x v="23"/>
    <s v="CUST028"/>
    <x v="9"/>
    <x v="4"/>
    <n v="96"/>
    <n v="5"/>
    <n v="480"/>
    <x v="3"/>
    <x v="1"/>
    <x v="3"/>
    <x v="22"/>
    <x v="4"/>
    <x v="1"/>
    <x v="1"/>
    <x v="2"/>
    <x v="2"/>
    <s v="Lily Bennett"/>
    <x v="2"/>
    <x v="9"/>
  </r>
  <r>
    <x v="24"/>
    <s v="CUST040"/>
    <x v="15"/>
    <x v="2"/>
    <n v="43"/>
    <n v="1"/>
    <n v="43"/>
    <x v="4"/>
    <x v="1"/>
    <x v="3"/>
    <x v="23"/>
    <x v="5"/>
    <x v="1"/>
    <x v="1"/>
    <x v="1"/>
    <x v="1"/>
    <s v="Benjamin Clark"/>
    <x v="1"/>
    <x v="15"/>
  </r>
  <r>
    <x v="25"/>
    <s v="CUST027"/>
    <x v="16"/>
    <x v="2"/>
    <n v="64"/>
    <n v="4"/>
    <n v="256"/>
    <x v="4"/>
    <x v="1"/>
    <x v="1"/>
    <x v="24"/>
    <x v="6"/>
    <x v="1"/>
    <x v="1"/>
    <x v="2"/>
    <x v="3"/>
    <s v="Hazel Brooks"/>
    <x v="2"/>
    <x v="16"/>
  </r>
  <r>
    <x v="26"/>
    <s v="CUST018"/>
    <x v="13"/>
    <x v="2"/>
    <n v="70"/>
    <n v="2"/>
    <n v="140"/>
    <x v="3"/>
    <x v="2"/>
    <x v="3"/>
    <x v="25"/>
    <x v="0"/>
    <x v="1"/>
    <x v="1"/>
    <x v="4"/>
    <x v="0"/>
    <s v="Grace Scott"/>
    <x v="0"/>
    <x v="13"/>
  </r>
  <r>
    <x v="27"/>
    <s v="CUST018"/>
    <x v="1"/>
    <x v="3"/>
    <n v="97"/>
    <n v="3"/>
    <n v="291"/>
    <x v="1"/>
    <x v="2"/>
    <x v="3"/>
    <x v="26"/>
    <x v="0"/>
    <x v="1"/>
    <x v="1"/>
    <x v="1"/>
    <x v="0"/>
    <s v="Grace Scott"/>
    <x v="0"/>
    <x v="1"/>
  </r>
  <r>
    <x v="28"/>
    <s v="CUST007"/>
    <x v="5"/>
    <x v="1"/>
    <n v="37"/>
    <n v="3"/>
    <n v="111"/>
    <x v="0"/>
    <x v="0"/>
    <x v="0"/>
    <x v="27"/>
    <x v="0"/>
    <x v="11"/>
    <x v="0"/>
    <x v="0"/>
    <x v="0"/>
    <s v="Liam Walker"/>
    <x v="0"/>
    <x v="5"/>
  </r>
  <r>
    <x v="29"/>
    <s v="CUST008"/>
    <x v="13"/>
    <x v="0"/>
    <n v="69"/>
    <n v="5"/>
    <n v="345"/>
    <x v="3"/>
    <x v="2"/>
    <x v="3"/>
    <x v="28"/>
    <x v="0"/>
    <x v="1"/>
    <x v="1"/>
    <x v="4"/>
    <x v="0"/>
    <s v="Harper Young"/>
    <x v="0"/>
    <x v="13"/>
  </r>
  <r>
    <x v="30"/>
    <s v="CUST014"/>
    <x v="15"/>
    <x v="0"/>
    <n v="42"/>
    <n v="5"/>
    <n v="210"/>
    <x v="3"/>
    <x v="2"/>
    <x v="2"/>
    <x v="29"/>
    <x v="0"/>
    <x v="1"/>
    <x v="1"/>
    <x v="1"/>
    <x v="0"/>
    <s v="Harper Young"/>
    <x v="0"/>
    <x v="15"/>
  </r>
  <r>
    <x v="31"/>
    <s v="CUST037"/>
    <x v="17"/>
    <x v="1"/>
    <n v="11"/>
    <n v="5"/>
    <n v="55"/>
    <x v="4"/>
    <x v="0"/>
    <x v="4"/>
    <x v="30"/>
    <x v="0"/>
    <x v="12"/>
    <x v="0"/>
    <x v="4"/>
    <x v="0"/>
    <s v="Emily Johnson"/>
    <x v="0"/>
    <x v="17"/>
  </r>
  <r>
    <x v="32"/>
    <s v="CUST016"/>
    <x v="11"/>
    <x v="2"/>
    <n v="27"/>
    <n v="2"/>
    <n v="54"/>
    <x v="0"/>
    <x v="1"/>
    <x v="1"/>
    <x v="31"/>
    <x v="7"/>
    <x v="1"/>
    <x v="1"/>
    <x v="2"/>
    <x v="4"/>
    <s v="Elijah Lewis"/>
    <x v="1"/>
    <x v="11"/>
  </r>
  <r>
    <x v="33"/>
    <s v="CUST025"/>
    <x v="12"/>
    <x v="2"/>
    <n v="21"/>
    <n v="1"/>
    <n v="21"/>
    <x v="3"/>
    <x v="2"/>
    <x v="0"/>
    <x v="32"/>
    <x v="0"/>
    <x v="1"/>
    <x v="1"/>
    <x v="4"/>
    <x v="0"/>
    <s v="Emma King"/>
    <x v="0"/>
    <x v="12"/>
  </r>
  <r>
    <x v="34"/>
    <s v="CUST032"/>
    <x v="18"/>
    <x v="2"/>
    <n v="172"/>
    <n v="1"/>
    <n v="172"/>
    <x v="2"/>
    <x v="1"/>
    <x v="1"/>
    <x v="33"/>
    <x v="8"/>
    <x v="1"/>
    <x v="1"/>
    <x v="3"/>
    <x v="5"/>
    <s v="Luke Gray"/>
    <x v="2"/>
    <x v="18"/>
  </r>
  <r>
    <x v="35"/>
    <s v="CUST014"/>
    <x v="19"/>
    <x v="0"/>
    <n v="212"/>
    <n v="3"/>
    <n v="636"/>
    <x v="3"/>
    <x v="2"/>
    <x v="2"/>
    <x v="34"/>
    <x v="0"/>
    <x v="1"/>
    <x v="1"/>
    <x v="0"/>
    <x v="0"/>
    <s v="Harper Young"/>
    <x v="0"/>
    <x v="19"/>
  </r>
  <r>
    <x v="36"/>
    <s v="CUST044"/>
    <x v="15"/>
    <x v="1"/>
    <n v="41"/>
    <n v="4"/>
    <n v="164"/>
    <x v="1"/>
    <x v="1"/>
    <x v="3"/>
    <x v="35"/>
    <x v="9"/>
    <x v="1"/>
    <x v="1"/>
    <x v="1"/>
    <x v="6"/>
    <s v="Grace Ward"/>
    <x v="2"/>
    <x v="15"/>
  </r>
  <r>
    <x v="37"/>
    <s v="CUST028"/>
    <x v="20"/>
    <x v="0"/>
    <n v="32"/>
    <n v="2"/>
    <n v="64"/>
    <x v="4"/>
    <x v="0"/>
    <x v="4"/>
    <x v="36"/>
    <x v="0"/>
    <x v="13"/>
    <x v="0"/>
    <x v="1"/>
    <x v="0"/>
    <s v="Lily Bennett"/>
    <x v="0"/>
    <x v="20"/>
  </r>
  <r>
    <x v="38"/>
    <s v="CUST024"/>
    <x v="16"/>
    <x v="1"/>
    <n v="66"/>
    <n v="2"/>
    <n v="132"/>
    <x v="0"/>
    <x v="2"/>
    <x v="0"/>
    <x v="37"/>
    <x v="0"/>
    <x v="1"/>
    <x v="1"/>
    <x v="2"/>
    <x v="0"/>
    <s v="Scarlett Murphy"/>
    <x v="0"/>
    <x v="16"/>
  </r>
  <r>
    <x v="39"/>
    <s v="CUST006"/>
    <x v="21"/>
    <x v="1"/>
    <n v="62"/>
    <n v="4"/>
    <n v="248"/>
    <x v="4"/>
    <x v="2"/>
    <x v="2"/>
    <x v="38"/>
    <x v="0"/>
    <x v="1"/>
    <x v="1"/>
    <x v="1"/>
    <x v="0"/>
    <s v="Ava Robinson"/>
    <x v="0"/>
    <x v="21"/>
  </r>
  <r>
    <x v="40"/>
    <s v="CUST001"/>
    <x v="18"/>
    <x v="4"/>
    <n v="173"/>
    <n v="4"/>
    <n v="692"/>
    <x v="0"/>
    <x v="1"/>
    <x v="2"/>
    <x v="39"/>
    <x v="10"/>
    <x v="1"/>
    <x v="1"/>
    <x v="3"/>
    <x v="7"/>
    <s v="James Miller"/>
    <x v="2"/>
    <x v="18"/>
  </r>
  <r>
    <x v="41"/>
    <s v="CUST007"/>
    <x v="21"/>
    <x v="4"/>
    <n v="63"/>
    <n v="3"/>
    <n v="189"/>
    <x v="0"/>
    <x v="1"/>
    <x v="2"/>
    <x v="40"/>
    <x v="11"/>
    <x v="1"/>
    <x v="1"/>
    <x v="1"/>
    <x v="1"/>
    <s v="Liam Walker"/>
    <x v="1"/>
    <x v="21"/>
  </r>
  <r>
    <x v="42"/>
    <s v="CUST040"/>
    <x v="5"/>
    <x v="4"/>
    <n v="36"/>
    <n v="3"/>
    <n v="108"/>
    <x v="4"/>
    <x v="0"/>
    <x v="1"/>
    <x v="41"/>
    <x v="0"/>
    <x v="14"/>
    <x v="0"/>
    <x v="0"/>
    <x v="0"/>
    <s v="Benjamin Clark"/>
    <x v="0"/>
    <x v="5"/>
  </r>
  <r>
    <x v="43"/>
    <s v="CUST006"/>
    <x v="21"/>
    <x v="3"/>
    <n v="62"/>
    <n v="1"/>
    <n v="62"/>
    <x v="0"/>
    <x v="0"/>
    <x v="3"/>
    <x v="42"/>
    <x v="0"/>
    <x v="15"/>
    <x v="0"/>
    <x v="1"/>
    <x v="0"/>
    <s v="Ava Robinson"/>
    <x v="0"/>
    <x v="21"/>
  </r>
  <r>
    <x v="44"/>
    <s v="CUST042"/>
    <x v="7"/>
    <x v="3"/>
    <n v="137"/>
    <n v="5"/>
    <n v="685"/>
    <x v="3"/>
    <x v="0"/>
    <x v="4"/>
    <x v="43"/>
    <x v="0"/>
    <x v="16"/>
    <x v="0"/>
    <x v="0"/>
    <x v="0"/>
    <s v="Noah Wilson"/>
    <x v="0"/>
    <x v="7"/>
  </r>
  <r>
    <x v="45"/>
    <s v="CUST039"/>
    <x v="10"/>
    <x v="0"/>
    <n v="73"/>
    <n v="4"/>
    <n v="292"/>
    <x v="1"/>
    <x v="1"/>
    <x v="3"/>
    <x v="44"/>
    <x v="12"/>
    <x v="1"/>
    <x v="1"/>
    <x v="3"/>
    <x v="5"/>
    <s v="Logan Ramirez"/>
    <x v="2"/>
    <x v="10"/>
  </r>
  <r>
    <x v="46"/>
    <s v="CUST041"/>
    <x v="4"/>
    <x v="0"/>
    <n v="104"/>
    <n v="1"/>
    <n v="104"/>
    <x v="2"/>
    <x v="1"/>
    <x v="3"/>
    <x v="45"/>
    <x v="13"/>
    <x v="1"/>
    <x v="1"/>
    <x v="3"/>
    <x v="1"/>
    <s v="Jacob Price"/>
    <x v="1"/>
    <x v="4"/>
  </r>
  <r>
    <x v="47"/>
    <s v="CUST044"/>
    <x v="9"/>
    <x v="1"/>
    <n v="97"/>
    <n v="1"/>
    <n v="97"/>
    <x v="3"/>
    <x v="1"/>
    <x v="4"/>
    <x v="46"/>
    <x v="14"/>
    <x v="1"/>
    <x v="1"/>
    <x v="2"/>
    <x v="6"/>
    <s v="Grace Ward"/>
    <x v="2"/>
    <x v="9"/>
  </r>
  <r>
    <x v="48"/>
    <s v="CUST026"/>
    <x v="10"/>
    <x v="2"/>
    <n v="73"/>
    <n v="5"/>
    <n v="365"/>
    <x v="0"/>
    <x v="2"/>
    <x v="3"/>
    <x v="47"/>
    <x v="0"/>
    <x v="1"/>
    <x v="1"/>
    <x v="3"/>
    <x v="0"/>
    <s v="Zoe Mitchell"/>
    <x v="0"/>
    <x v="10"/>
  </r>
  <r>
    <x v="49"/>
    <s v="CUST040"/>
    <x v="11"/>
    <x v="1"/>
    <n v="27"/>
    <n v="3"/>
    <n v="81"/>
    <x v="3"/>
    <x v="1"/>
    <x v="2"/>
    <x v="48"/>
    <x v="15"/>
    <x v="1"/>
    <x v="1"/>
    <x v="2"/>
    <x v="7"/>
    <s v="Benjamin Clark"/>
    <x v="2"/>
    <x v="11"/>
  </r>
  <r>
    <x v="50"/>
    <s v="CUST041"/>
    <x v="5"/>
    <x v="0"/>
    <n v="37"/>
    <n v="1"/>
    <n v="37"/>
    <x v="0"/>
    <x v="2"/>
    <x v="2"/>
    <x v="20"/>
    <x v="0"/>
    <x v="1"/>
    <x v="1"/>
    <x v="0"/>
    <x v="0"/>
    <s v="Jacob Price"/>
    <x v="0"/>
    <x v="5"/>
  </r>
  <r>
    <x v="51"/>
    <s v="CUST008"/>
    <x v="12"/>
    <x v="0"/>
    <n v="22"/>
    <n v="1"/>
    <n v="22"/>
    <x v="4"/>
    <x v="1"/>
    <x v="4"/>
    <x v="49"/>
    <x v="16"/>
    <x v="1"/>
    <x v="1"/>
    <x v="4"/>
    <x v="1"/>
    <s v="Harper Young"/>
    <x v="1"/>
    <x v="12"/>
  </r>
  <r>
    <x v="52"/>
    <s v="CUST011"/>
    <x v="19"/>
    <x v="3"/>
    <n v="218"/>
    <n v="5"/>
    <n v="1090"/>
    <x v="2"/>
    <x v="1"/>
    <x v="0"/>
    <x v="9"/>
    <x v="17"/>
    <x v="1"/>
    <x v="1"/>
    <x v="0"/>
    <x v="2"/>
    <s v="Mason Hall"/>
    <x v="2"/>
    <x v="19"/>
  </r>
  <r>
    <x v="53"/>
    <s v="CUST018"/>
    <x v="21"/>
    <x v="0"/>
    <n v="64"/>
    <n v="1"/>
    <n v="64"/>
    <x v="0"/>
    <x v="0"/>
    <x v="1"/>
    <x v="50"/>
    <x v="0"/>
    <x v="17"/>
    <x v="0"/>
    <x v="1"/>
    <x v="0"/>
    <s v="Grace Scott"/>
    <x v="0"/>
    <x v="21"/>
  </r>
  <r>
    <x v="54"/>
    <s v="CUST037"/>
    <x v="5"/>
    <x v="3"/>
    <n v="36"/>
    <n v="4"/>
    <n v="144"/>
    <x v="2"/>
    <x v="1"/>
    <x v="3"/>
    <x v="4"/>
    <x v="18"/>
    <x v="1"/>
    <x v="1"/>
    <x v="0"/>
    <x v="5"/>
    <s v="Emily Johnson"/>
    <x v="2"/>
    <x v="5"/>
  </r>
  <r>
    <x v="55"/>
    <s v="CUST017"/>
    <x v="21"/>
    <x v="4"/>
    <n v="65"/>
    <n v="1"/>
    <n v="65"/>
    <x v="3"/>
    <x v="1"/>
    <x v="4"/>
    <x v="51"/>
    <x v="6"/>
    <x v="1"/>
    <x v="1"/>
    <x v="1"/>
    <x v="2"/>
    <s v="Emma King"/>
    <x v="2"/>
    <x v="21"/>
  </r>
  <r>
    <x v="56"/>
    <s v="CUST025"/>
    <x v="11"/>
    <x v="3"/>
    <n v="26"/>
    <n v="1"/>
    <n v="26"/>
    <x v="0"/>
    <x v="1"/>
    <x v="0"/>
    <x v="52"/>
    <x v="19"/>
    <x v="1"/>
    <x v="1"/>
    <x v="2"/>
    <x v="1"/>
    <s v="Emma King"/>
    <x v="1"/>
    <x v="11"/>
  </r>
  <r>
    <x v="57"/>
    <s v="CUST021"/>
    <x v="17"/>
    <x v="0"/>
    <n v="11"/>
    <n v="5"/>
    <n v="55"/>
    <x v="1"/>
    <x v="2"/>
    <x v="4"/>
    <x v="53"/>
    <x v="0"/>
    <x v="1"/>
    <x v="1"/>
    <x v="4"/>
    <x v="0"/>
    <s v="Zoe Mitchell"/>
    <x v="0"/>
    <x v="17"/>
  </r>
  <r>
    <x v="58"/>
    <s v="CUST003"/>
    <x v="2"/>
    <x v="0"/>
    <n v="195"/>
    <n v="4"/>
    <n v="780"/>
    <x v="2"/>
    <x v="0"/>
    <x v="4"/>
    <x v="54"/>
    <x v="0"/>
    <x v="18"/>
    <x v="0"/>
    <x v="0"/>
    <x v="0"/>
    <s v="Ethan Davis"/>
    <x v="0"/>
    <x v="2"/>
  </r>
  <r>
    <x v="59"/>
    <s v="CUST019"/>
    <x v="6"/>
    <x v="4"/>
    <n v="44"/>
    <n v="5"/>
    <n v="220"/>
    <x v="0"/>
    <x v="0"/>
    <x v="1"/>
    <x v="2"/>
    <x v="0"/>
    <x v="19"/>
    <x v="0"/>
    <x v="2"/>
    <x v="0"/>
    <s v="Ava Robinson"/>
    <x v="0"/>
    <x v="6"/>
  </r>
  <r>
    <x v="60"/>
    <s v="CUST035"/>
    <x v="13"/>
    <x v="1"/>
    <n v="69"/>
    <n v="4"/>
    <n v="276"/>
    <x v="4"/>
    <x v="2"/>
    <x v="0"/>
    <x v="55"/>
    <x v="0"/>
    <x v="1"/>
    <x v="1"/>
    <x v="4"/>
    <x v="0"/>
    <s v="Scarlett Adams"/>
    <x v="0"/>
    <x v="13"/>
  </r>
  <r>
    <x v="61"/>
    <s v="CUST022"/>
    <x v="14"/>
    <x v="0"/>
    <n v="815"/>
    <n v="4"/>
    <n v="3260"/>
    <x v="1"/>
    <x v="1"/>
    <x v="1"/>
    <x v="56"/>
    <x v="20"/>
    <x v="1"/>
    <x v="1"/>
    <x v="3"/>
    <x v="7"/>
    <s v="Elijah Lewis"/>
    <x v="2"/>
    <x v="14"/>
  </r>
  <r>
    <x v="62"/>
    <s v="CUST004"/>
    <x v="11"/>
    <x v="1"/>
    <n v="27"/>
    <n v="1"/>
    <n v="27"/>
    <x v="4"/>
    <x v="2"/>
    <x v="3"/>
    <x v="57"/>
    <x v="0"/>
    <x v="1"/>
    <x v="1"/>
    <x v="2"/>
    <x v="0"/>
    <s v="Noah Wilson"/>
    <x v="0"/>
    <x v="11"/>
  </r>
  <r>
    <x v="63"/>
    <s v="CUST048"/>
    <x v="7"/>
    <x v="4"/>
    <n v="139"/>
    <n v="5"/>
    <n v="695"/>
    <x v="0"/>
    <x v="1"/>
    <x v="1"/>
    <x v="38"/>
    <x v="21"/>
    <x v="1"/>
    <x v="1"/>
    <x v="0"/>
    <x v="5"/>
    <s v="Noah Wilson"/>
    <x v="2"/>
    <x v="7"/>
  </r>
  <r>
    <x v="64"/>
    <s v="CUST009"/>
    <x v="13"/>
    <x v="2"/>
    <n v="69"/>
    <n v="3"/>
    <n v="207"/>
    <x v="2"/>
    <x v="0"/>
    <x v="3"/>
    <x v="51"/>
    <x v="0"/>
    <x v="20"/>
    <x v="0"/>
    <x v="4"/>
    <x v="0"/>
    <s v="Jackson Allen"/>
    <x v="0"/>
    <x v="13"/>
  </r>
  <r>
    <x v="65"/>
    <s v="CUST009"/>
    <x v="6"/>
    <x v="4"/>
    <n v="42"/>
    <n v="1"/>
    <n v="42"/>
    <x v="0"/>
    <x v="0"/>
    <x v="0"/>
    <x v="58"/>
    <x v="0"/>
    <x v="21"/>
    <x v="0"/>
    <x v="2"/>
    <x v="0"/>
    <s v="Jackson Allen"/>
    <x v="0"/>
    <x v="6"/>
  </r>
  <r>
    <x v="66"/>
    <s v="CUST050"/>
    <x v="20"/>
    <x v="0"/>
    <n v="31"/>
    <n v="4"/>
    <n v="124"/>
    <x v="1"/>
    <x v="1"/>
    <x v="2"/>
    <x v="59"/>
    <x v="22"/>
    <x v="1"/>
    <x v="1"/>
    <x v="1"/>
    <x v="1"/>
    <e v="#N/A"/>
    <x v="1"/>
    <x v="20"/>
  </r>
  <r>
    <x v="67"/>
    <s v="CUST045"/>
    <x v="4"/>
    <x v="4"/>
    <n v="104"/>
    <n v="3"/>
    <n v="312"/>
    <x v="1"/>
    <x v="2"/>
    <x v="2"/>
    <x v="42"/>
    <x v="0"/>
    <x v="1"/>
    <x v="1"/>
    <x v="3"/>
    <x v="0"/>
    <s v="Emily Johnson"/>
    <x v="0"/>
    <x v="4"/>
  </r>
  <r>
    <x v="68"/>
    <s v="CUST044"/>
    <x v="3"/>
    <x v="1"/>
    <n v="58"/>
    <n v="2"/>
    <n v="116"/>
    <x v="0"/>
    <x v="0"/>
    <x v="1"/>
    <x v="60"/>
    <x v="0"/>
    <x v="22"/>
    <x v="0"/>
    <x v="2"/>
    <x v="0"/>
    <s v="Grace Ward"/>
    <x v="0"/>
    <x v="3"/>
  </r>
  <r>
    <x v="69"/>
    <s v="CUST009"/>
    <x v="21"/>
    <x v="4"/>
    <n v="62"/>
    <n v="2"/>
    <n v="124"/>
    <x v="4"/>
    <x v="0"/>
    <x v="0"/>
    <x v="26"/>
    <x v="0"/>
    <x v="11"/>
    <x v="0"/>
    <x v="1"/>
    <x v="0"/>
    <s v="Jackson Allen"/>
    <x v="0"/>
    <x v="21"/>
  </r>
  <r>
    <x v="70"/>
    <s v="CUST006"/>
    <x v="6"/>
    <x v="1"/>
    <n v="43"/>
    <n v="1"/>
    <n v="43"/>
    <x v="1"/>
    <x v="1"/>
    <x v="3"/>
    <x v="42"/>
    <x v="23"/>
    <x v="1"/>
    <x v="1"/>
    <x v="2"/>
    <x v="7"/>
    <s v="Ava Robinson"/>
    <x v="2"/>
    <x v="6"/>
  </r>
  <r>
    <x v="71"/>
    <s v="CUST022"/>
    <x v="21"/>
    <x v="1"/>
    <n v="62"/>
    <n v="4"/>
    <n v="248"/>
    <x v="4"/>
    <x v="2"/>
    <x v="3"/>
    <x v="61"/>
    <x v="0"/>
    <x v="1"/>
    <x v="1"/>
    <x v="1"/>
    <x v="0"/>
    <s v="Elijah Lewis"/>
    <x v="0"/>
    <x v="21"/>
  </r>
  <r>
    <x v="72"/>
    <s v="CUST028"/>
    <x v="9"/>
    <x v="0"/>
    <n v="95"/>
    <n v="2"/>
    <n v="190"/>
    <x v="2"/>
    <x v="0"/>
    <x v="2"/>
    <x v="62"/>
    <x v="0"/>
    <x v="23"/>
    <x v="0"/>
    <x v="2"/>
    <x v="0"/>
    <s v="Lily Bennett"/>
    <x v="0"/>
    <x v="9"/>
  </r>
  <r>
    <x v="73"/>
    <s v="CUST016"/>
    <x v="5"/>
    <x v="3"/>
    <n v="36"/>
    <n v="4"/>
    <n v="144"/>
    <x v="0"/>
    <x v="1"/>
    <x v="4"/>
    <x v="63"/>
    <x v="24"/>
    <x v="1"/>
    <x v="1"/>
    <x v="0"/>
    <x v="3"/>
    <s v="Elijah Lewis"/>
    <x v="2"/>
    <x v="5"/>
  </r>
  <r>
    <x v="74"/>
    <s v="CUST042"/>
    <x v="10"/>
    <x v="1"/>
    <n v="73"/>
    <n v="5"/>
    <n v="365"/>
    <x v="0"/>
    <x v="2"/>
    <x v="0"/>
    <x v="64"/>
    <x v="0"/>
    <x v="1"/>
    <x v="1"/>
    <x v="3"/>
    <x v="0"/>
    <s v="Noah Wilson"/>
    <x v="0"/>
    <x v="10"/>
  </r>
  <r>
    <x v="75"/>
    <s v="CUST023"/>
    <x v="6"/>
    <x v="0"/>
    <n v="43"/>
    <n v="4"/>
    <n v="172"/>
    <x v="4"/>
    <x v="1"/>
    <x v="0"/>
    <x v="65"/>
    <x v="25"/>
    <x v="1"/>
    <x v="1"/>
    <x v="2"/>
    <x v="3"/>
    <s v="Charlotte Reed"/>
    <x v="2"/>
    <x v="6"/>
  </r>
  <r>
    <x v="76"/>
    <s v="CUST004"/>
    <x v="19"/>
    <x v="4"/>
    <n v="214"/>
    <n v="5"/>
    <n v="1070"/>
    <x v="4"/>
    <x v="1"/>
    <x v="2"/>
    <x v="22"/>
    <x v="26"/>
    <x v="1"/>
    <x v="1"/>
    <x v="0"/>
    <x v="1"/>
    <s v="Noah Wilson"/>
    <x v="1"/>
    <x v="19"/>
  </r>
  <r>
    <x v="77"/>
    <s v="CUST048"/>
    <x v="15"/>
    <x v="3"/>
    <n v="42"/>
    <n v="2"/>
    <n v="84"/>
    <x v="0"/>
    <x v="0"/>
    <x v="2"/>
    <x v="66"/>
    <x v="0"/>
    <x v="24"/>
    <x v="0"/>
    <x v="1"/>
    <x v="0"/>
    <s v="Noah Wilson"/>
    <x v="0"/>
    <x v="15"/>
  </r>
  <r>
    <x v="78"/>
    <s v="CUST048"/>
    <x v="0"/>
    <x v="0"/>
    <n v="46"/>
    <n v="1"/>
    <n v="46"/>
    <x v="3"/>
    <x v="2"/>
    <x v="2"/>
    <x v="7"/>
    <x v="0"/>
    <x v="1"/>
    <x v="1"/>
    <x v="0"/>
    <x v="0"/>
    <s v="Noah Wilson"/>
    <x v="0"/>
    <x v="0"/>
  </r>
  <r>
    <x v="79"/>
    <s v="CUST032"/>
    <x v="1"/>
    <x v="1"/>
    <n v="95"/>
    <n v="4"/>
    <n v="380"/>
    <x v="1"/>
    <x v="1"/>
    <x v="2"/>
    <x v="67"/>
    <x v="27"/>
    <x v="1"/>
    <x v="1"/>
    <x v="1"/>
    <x v="2"/>
    <s v="Luke Gray"/>
    <x v="2"/>
    <x v="1"/>
  </r>
  <r>
    <x v="80"/>
    <s v="CUST001"/>
    <x v="18"/>
    <x v="4"/>
    <n v="174"/>
    <n v="2"/>
    <n v="348"/>
    <x v="2"/>
    <x v="2"/>
    <x v="2"/>
    <x v="68"/>
    <x v="0"/>
    <x v="1"/>
    <x v="1"/>
    <x v="3"/>
    <x v="0"/>
    <s v="James Miller"/>
    <x v="0"/>
    <x v="18"/>
  </r>
  <r>
    <x v="81"/>
    <s v="CUST046"/>
    <x v="11"/>
    <x v="0"/>
    <n v="27"/>
    <n v="5"/>
    <n v="135"/>
    <x v="1"/>
    <x v="0"/>
    <x v="3"/>
    <x v="30"/>
    <x v="0"/>
    <x v="25"/>
    <x v="0"/>
    <x v="2"/>
    <x v="0"/>
    <s v="Emily Johnson"/>
    <x v="0"/>
    <x v="11"/>
  </r>
  <r>
    <x v="82"/>
    <s v="CUST021"/>
    <x v="11"/>
    <x v="2"/>
    <n v="27"/>
    <n v="4"/>
    <n v="108"/>
    <x v="2"/>
    <x v="1"/>
    <x v="1"/>
    <x v="69"/>
    <x v="28"/>
    <x v="1"/>
    <x v="1"/>
    <x v="2"/>
    <x v="1"/>
    <s v="Zoe Mitchell"/>
    <x v="1"/>
    <x v="11"/>
  </r>
  <r>
    <x v="83"/>
    <s v="CUST015"/>
    <x v="16"/>
    <x v="2"/>
    <n v="65"/>
    <n v="2"/>
    <n v="130"/>
    <x v="2"/>
    <x v="2"/>
    <x v="0"/>
    <x v="33"/>
    <x v="0"/>
    <x v="1"/>
    <x v="1"/>
    <x v="2"/>
    <x v="0"/>
    <s v="Ava White"/>
    <x v="0"/>
    <x v="16"/>
  </r>
  <r>
    <x v="84"/>
    <s v="CUST045"/>
    <x v="6"/>
    <x v="1"/>
    <n v="43"/>
    <n v="5"/>
    <n v="215"/>
    <x v="4"/>
    <x v="2"/>
    <x v="0"/>
    <x v="61"/>
    <x v="0"/>
    <x v="1"/>
    <x v="1"/>
    <x v="2"/>
    <x v="0"/>
    <s v="Emily Johnson"/>
    <x v="0"/>
    <x v="6"/>
  </r>
  <r>
    <x v="85"/>
    <s v="CUST007"/>
    <x v="19"/>
    <x v="4"/>
    <n v="210"/>
    <n v="1"/>
    <n v="210"/>
    <x v="2"/>
    <x v="2"/>
    <x v="2"/>
    <x v="70"/>
    <x v="0"/>
    <x v="1"/>
    <x v="1"/>
    <x v="0"/>
    <x v="0"/>
    <s v="Liam Walker"/>
    <x v="0"/>
    <x v="19"/>
  </r>
  <r>
    <x v="86"/>
    <s v="CUST043"/>
    <x v="5"/>
    <x v="2"/>
    <n v="37"/>
    <n v="3"/>
    <n v="111"/>
    <x v="1"/>
    <x v="2"/>
    <x v="2"/>
    <x v="56"/>
    <x v="0"/>
    <x v="1"/>
    <x v="1"/>
    <x v="0"/>
    <x v="0"/>
    <s v="Lily Reed"/>
    <x v="0"/>
    <x v="5"/>
  </r>
  <r>
    <x v="87"/>
    <s v="CUST007"/>
    <x v="14"/>
    <x v="2"/>
    <n v="788"/>
    <n v="4"/>
    <n v="3152"/>
    <x v="4"/>
    <x v="2"/>
    <x v="3"/>
    <x v="53"/>
    <x v="0"/>
    <x v="1"/>
    <x v="1"/>
    <x v="3"/>
    <x v="0"/>
    <s v="Liam Walker"/>
    <x v="0"/>
    <x v="14"/>
  </r>
  <r>
    <x v="88"/>
    <s v="CUST007"/>
    <x v="19"/>
    <x v="4"/>
    <n v="217"/>
    <n v="5"/>
    <n v="1085"/>
    <x v="4"/>
    <x v="2"/>
    <x v="4"/>
    <x v="71"/>
    <x v="0"/>
    <x v="1"/>
    <x v="1"/>
    <x v="0"/>
    <x v="0"/>
    <s v="Liam Walker"/>
    <x v="0"/>
    <x v="19"/>
  </r>
  <r>
    <x v="89"/>
    <s v="CUST007"/>
    <x v="7"/>
    <x v="4"/>
    <n v="138"/>
    <n v="4"/>
    <n v="552"/>
    <x v="1"/>
    <x v="2"/>
    <x v="4"/>
    <x v="63"/>
    <x v="0"/>
    <x v="1"/>
    <x v="1"/>
    <x v="0"/>
    <x v="0"/>
    <s v="Liam Walker"/>
    <x v="0"/>
    <x v="7"/>
  </r>
  <r>
    <x v="90"/>
    <s v="CUST031"/>
    <x v="14"/>
    <x v="3"/>
    <n v="803"/>
    <n v="2"/>
    <n v="1606"/>
    <x v="0"/>
    <x v="1"/>
    <x v="4"/>
    <x v="72"/>
    <x v="29"/>
    <x v="1"/>
    <x v="1"/>
    <x v="3"/>
    <x v="3"/>
    <s v="Mason Collins"/>
    <x v="2"/>
    <x v="14"/>
  </r>
  <r>
    <x v="91"/>
    <s v="CUST013"/>
    <x v="8"/>
    <x v="0"/>
    <n v="248"/>
    <n v="5"/>
    <n v="1240"/>
    <x v="2"/>
    <x v="0"/>
    <x v="2"/>
    <x v="73"/>
    <x v="0"/>
    <x v="8"/>
    <x v="0"/>
    <x v="3"/>
    <x v="0"/>
    <s v="Olivia Martinez"/>
    <x v="0"/>
    <x v="8"/>
  </r>
  <r>
    <x v="92"/>
    <s v="CUST036"/>
    <x v="19"/>
    <x v="1"/>
    <n v="210"/>
    <n v="3"/>
    <n v="630"/>
    <x v="0"/>
    <x v="1"/>
    <x v="0"/>
    <x v="74"/>
    <x v="30"/>
    <x v="1"/>
    <x v="1"/>
    <x v="0"/>
    <x v="1"/>
    <s v="Ethan Davis"/>
    <x v="1"/>
    <x v="19"/>
  </r>
  <r>
    <x v="93"/>
    <s v="CUST013"/>
    <x v="21"/>
    <x v="0"/>
    <n v="62"/>
    <n v="2"/>
    <n v="124"/>
    <x v="1"/>
    <x v="0"/>
    <x v="4"/>
    <x v="75"/>
    <x v="0"/>
    <x v="26"/>
    <x v="0"/>
    <x v="1"/>
    <x v="0"/>
    <s v="Olivia Martinez"/>
    <x v="0"/>
    <x v="21"/>
  </r>
  <r>
    <x v="94"/>
    <s v="CUST043"/>
    <x v="17"/>
    <x v="2"/>
    <n v="11"/>
    <n v="5"/>
    <n v="55"/>
    <x v="4"/>
    <x v="0"/>
    <x v="3"/>
    <x v="76"/>
    <x v="0"/>
    <x v="27"/>
    <x v="0"/>
    <x v="4"/>
    <x v="0"/>
    <s v="Lily Reed"/>
    <x v="0"/>
    <x v="17"/>
  </r>
  <r>
    <x v="95"/>
    <s v="CUST017"/>
    <x v="12"/>
    <x v="0"/>
    <n v="21"/>
    <n v="2"/>
    <n v="42"/>
    <x v="3"/>
    <x v="1"/>
    <x v="2"/>
    <x v="77"/>
    <x v="31"/>
    <x v="1"/>
    <x v="1"/>
    <x v="4"/>
    <x v="2"/>
    <s v="Emma King"/>
    <x v="2"/>
    <x v="12"/>
  </r>
  <r>
    <x v="96"/>
    <s v="CUST023"/>
    <x v="1"/>
    <x v="4"/>
    <n v="95"/>
    <n v="5"/>
    <n v="475"/>
    <x v="3"/>
    <x v="1"/>
    <x v="3"/>
    <x v="78"/>
    <x v="8"/>
    <x v="1"/>
    <x v="1"/>
    <x v="1"/>
    <x v="2"/>
    <s v="Charlotte Reed"/>
    <x v="2"/>
    <x v="1"/>
  </r>
  <r>
    <x v="97"/>
    <s v="CUST044"/>
    <x v="19"/>
    <x v="2"/>
    <n v="215"/>
    <n v="2"/>
    <n v="430"/>
    <x v="2"/>
    <x v="1"/>
    <x v="3"/>
    <x v="79"/>
    <x v="10"/>
    <x v="1"/>
    <x v="1"/>
    <x v="0"/>
    <x v="6"/>
    <s v="Grace Ward"/>
    <x v="2"/>
    <x v="19"/>
  </r>
  <r>
    <x v="98"/>
    <s v="CUST034"/>
    <x v="6"/>
    <x v="4"/>
    <n v="43"/>
    <n v="5"/>
    <n v="215"/>
    <x v="1"/>
    <x v="0"/>
    <x v="2"/>
    <x v="63"/>
    <x v="0"/>
    <x v="28"/>
    <x v="0"/>
    <x v="2"/>
    <x v="0"/>
    <s v="Lily Simmons"/>
    <x v="0"/>
    <x v="6"/>
  </r>
  <r>
    <x v="99"/>
    <s v="CUST009"/>
    <x v="15"/>
    <x v="4"/>
    <n v="42"/>
    <n v="4"/>
    <n v="168"/>
    <x v="4"/>
    <x v="2"/>
    <x v="0"/>
    <x v="80"/>
    <x v="0"/>
    <x v="1"/>
    <x v="1"/>
    <x v="1"/>
    <x v="0"/>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D6FFB-30E3-4063-8D35-03589F2A81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15">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axis="axisCol" showAll="0">
      <items count="6">
        <item x="4"/>
        <item x="3"/>
        <item x="2"/>
        <item x="0"/>
        <item x="1"/>
        <item t="default"/>
      </items>
    </pivotField>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formats count="5">
    <format dxfId="964">
      <pivotArea type="all" dataOnly="0" outline="0" fieldPosition="0"/>
    </format>
    <format dxfId="963">
      <pivotArea outline="0" collapsedLevelsAreSubtotals="1" fieldPosition="0"/>
    </format>
    <format dxfId="962">
      <pivotArea field="3" type="button" dataOnly="0" labelOnly="1" outline="0" axis="axisRow" fieldPosition="0"/>
    </format>
    <format dxfId="961">
      <pivotArea dataOnly="0" labelOnly="1" grandRow="1" outline="0" fieldPosition="0"/>
    </format>
    <format dxfId="96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A3549-3A17-432F-B74B-9ADC05928B6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formats count="6">
    <format dxfId="959">
      <pivotArea type="all" dataOnly="0" outline="0" fieldPosition="0"/>
    </format>
    <format dxfId="958">
      <pivotArea outline="0" collapsedLevelsAreSubtotals="1" fieldPosition="0"/>
    </format>
    <format dxfId="957">
      <pivotArea field="8" type="button" dataOnly="0" labelOnly="1" outline="0" axis="axisRow" fieldPosition="0"/>
    </format>
    <format dxfId="956">
      <pivotArea dataOnly="0" labelOnly="1" fieldPosition="0">
        <references count="1">
          <reference field="8" count="0"/>
        </references>
      </pivotArea>
    </format>
    <format dxfId="955">
      <pivotArea dataOnly="0" labelOnly="1" grandRow="1" outline="0" fieldPosition="0"/>
    </format>
    <format dxfId="9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010628-54BE-4DBD-AF6B-5E71A575863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8">
    <pivotField showAll="0"/>
    <pivotField showAll="0"/>
    <pivotField showAll="0"/>
    <pivotField showAll="0"/>
    <pivotField showAll="0"/>
    <pivotField showAll="0"/>
    <pivotField dataField="1" showAll="0"/>
    <pivotField showAll="0"/>
    <pivotField axis="axisRow" showAll="0">
      <items count="4">
        <item h="1" x="0"/>
        <item x="1"/>
        <item h="1" x="2"/>
        <item t="default"/>
      </items>
    </pivotField>
    <pivotField showAll="0"/>
    <pivotField numFmtId="14"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Total Amount" fld="6" baseField="0" baseItem="0"/>
  </dataFields>
  <formats count="12">
    <format dxfId="953">
      <pivotArea type="all" dataOnly="0" outline="0" fieldPosition="0"/>
    </format>
    <format dxfId="952">
      <pivotArea outline="0" collapsedLevelsAreSubtotals="1" fieldPosition="0"/>
    </format>
    <format dxfId="951">
      <pivotArea field="8" type="button" dataOnly="0" labelOnly="1" outline="0" axis="axisRow" fieldPosition="0"/>
    </format>
    <format dxfId="950">
      <pivotArea dataOnly="0" labelOnly="1" fieldPosition="0">
        <references count="1">
          <reference field="8" count="0"/>
        </references>
      </pivotArea>
    </format>
    <format dxfId="949">
      <pivotArea dataOnly="0" labelOnly="1" grandRow="1" outline="0" fieldPosition="0"/>
    </format>
    <format dxfId="948">
      <pivotArea dataOnly="0" labelOnly="1" outline="0" axis="axisValues" fieldPosition="0"/>
    </format>
    <format dxfId="947">
      <pivotArea type="all" dataOnly="0" outline="0" fieldPosition="0"/>
    </format>
    <format dxfId="946">
      <pivotArea outline="0" collapsedLevelsAreSubtotals="1" fieldPosition="0"/>
    </format>
    <format dxfId="945">
      <pivotArea field="8" type="button" dataOnly="0" labelOnly="1" outline="0" axis="axisRow" fieldPosition="0"/>
    </format>
    <format dxfId="944">
      <pivotArea dataOnly="0" labelOnly="1" fieldPosition="0">
        <references count="1">
          <reference field="8" count="0"/>
        </references>
      </pivotArea>
    </format>
    <format dxfId="943">
      <pivotArea dataOnly="0" labelOnly="1" grandRow="1" outline="0" fieldPosition="0"/>
    </format>
    <format dxfId="9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E75D6E-9935-41D5-9D1A-598AEC7A6C3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2" colPageCount="1"/>
  <pivotFields count="16">
    <pivotField showAll="0"/>
    <pivotField showAll="0"/>
    <pivotField showAll="0"/>
    <pivotField axis="axisRow" showAll="0" sortType="ascending">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pivotField showAll="0"/>
    <pivotField numFmtId="14" showAll="0"/>
    <pivotField showAll="0"/>
    <pivotField showAll="0"/>
    <pivotField showAll="0"/>
    <pivotField axis="axisPage" showAll="0">
      <items count="6">
        <item x="4"/>
        <item x="3"/>
        <item x="2"/>
        <item x="0"/>
        <item x="1"/>
        <item t="default"/>
      </items>
    </pivotField>
    <pivotField dataField="1" showAll="0">
      <items count="9">
        <item x="4"/>
        <item x="1"/>
        <item x="2"/>
        <item x="5"/>
        <item x="6"/>
        <item x="3"/>
        <item x="7"/>
        <item x="0"/>
        <item t="default"/>
      </items>
    </pivotField>
  </pivotFields>
  <rowFields count="1">
    <field x="3"/>
  </rowFields>
  <rowItems count="6">
    <i>
      <x/>
    </i>
    <i>
      <x v="1"/>
    </i>
    <i>
      <x v="2"/>
    </i>
    <i>
      <x v="3"/>
    </i>
    <i>
      <x v="4"/>
    </i>
    <i t="grand">
      <x/>
    </i>
  </rowItems>
  <colItems count="1">
    <i/>
  </colItems>
  <pageFields count="2">
    <pageField fld="7" hier="-1"/>
    <pageField fld="14" hier="-1"/>
  </pageFields>
  <dataFields count="1">
    <dataField name="Average of Avg. delivery date" fld="15" subtotal="average" baseField="3" baseItem="0"/>
  </dataFields>
  <formats count="8">
    <format dxfId="941">
      <pivotArea collapsedLevelsAreSubtotals="1" fieldPosition="0">
        <references count="1">
          <reference field="3" count="0"/>
        </references>
      </pivotArea>
    </format>
    <format dxfId="940">
      <pivotArea grandRow="1" outline="0" collapsedLevelsAreSubtotals="1" fieldPosition="0"/>
    </format>
    <format dxfId="939">
      <pivotArea type="all" dataOnly="0" outline="0" fieldPosition="0"/>
    </format>
    <format dxfId="938">
      <pivotArea outline="0" collapsedLevelsAreSubtotals="1" fieldPosition="0"/>
    </format>
    <format dxfId="937">
      <pivotArea field="3" type="button" dataOnly="0" labelOnly="1" outline="0" axis="axisRow" fieldPosition="0"/>
    </format>
    <format dxfId="936">
      <pivotArea dataOnly="0" labelOnly="1" fieldPosition="0">
        <references count="1">
          <reference field="3" count="0"/>
        </references>
      </pivotArea>
    </format>
    <format dxfId="935">
      <pivotArea dataOnly="0" labelOnly="1" grandRow="1" outline="0" fieldPosition="0"/>
    </format>
    <format dxfId="9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1DAA72-C6F5-4C9A-A8EC-943B7569723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formats count="6">
    <format dxfId="933">
      <pivotArea type="all" dataOnly="0" outline="0" fieldPosition="0"/>
    </format>
    <format dxfId="932">
      <pivotArea outline="0" collapsedLevelsAreSubtotals="1" fieldPosition="0"/>
    </format>
    <format dxfId="931">
      <pivotArea dataOnly="0" labelOnly="1" outline="0" axis="axisValues" fieldPosition="0"/>
    </format>
    <format dxfId="930">
      <pivotArea type="all" dataOnly="0" outline="0" fieldPosition="0"/>
    </format>
    <format dxfId="929">
      <pivotArea outline="0" collapsedLevelsAreSubtotals="1" fieldPosition="0"/>
    </format>
    <format dxfId="9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AE621F-597B-4540-9D2B-06CCEF15E46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18">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axis="axisCol" showAll="0">
      <items count="3">
        <item x="1"/>
        <item x="0"/>
        <item t="default"/>
      </items>
    </pivotField>
    <pivotField showAll="0"/>
    <pivotField showAll="0"/>
    <pivotField showAll="0"/>
    <pivotField showAll="0"/>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formats count="2">
    <format dxfId="927">
      <pivotArea type="all" dataOnly="0" outline="0" fieldPosition="0"/>
    </format>
    <format dxfId="92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CE228B-BB6E-4578-8CB2-682501D4A9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18">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numFmtId="14" showAll="0"/>
    <pivotField showAll="0"/>
    <pivotField showAll="0"/>
    <pivotField showAll="0"/>
    <pivotField showAll="0"/>
    <pivotField showAll="0"/>
    <pivotField showAll="0"/>
    <pivotField axis="axisCol" showAll="0">
      <items count="4">
        <item x="1"/>
        <item x="0"/>
        <item x="2"/>
        <item t="default"/>
      </items>
    </pivotField>
  </pivotFields>
  <rowItems count="1">
    <i/>
  </rowItems>
  <colFields count="1">
    <field x="17"/>
  </colFields>
  <colItems count="4">
    <i>
      <x/>
    </i>
    <i>
      <x v="1"/>
    </i>
    <i>
      <x v="2"/>
    </i>
    <i t="grand">
      <x/>
    </i>
  </colItems>
  <dataFields count="1">
    <dataField name="Count of Order ID" fld="0" subtotal="count" baseField="0" baseItem="0"/>
  </dataFields>
  <formats count="1">
    <format dxfId="92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4CA5D4-1B0A-4215-BE01-1C1B1826B5C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formats count="12">
    <format dxfId="924">
      <pivotArea type="all" dataOnly="0" outline="0" fieldPosition="0"/>
    </format>
    <format dxfId="923">
      <pivotArea outline="0" collapsedLevelsAreSubtotals="1" fieldPosition="0"/>
    </format>
    <format dxfId="922">
      <pivotArea field="3" type="button" dataOnly="0" labelOnly="1" outline="0" axis="axisRow" fieldPosition="0"/>
    </format>
    <format dxfId="921">
      <pivotArea dataOnly="0" labelOnly="1" fieldPosition="0">
        <references count="1">
          <reference field="3" count="3">
            <x v="2"/>
            <x v="3"/>
            <x v="4"/>
          </reference>
        </references>
      </pivotArea>
    </format>
    <format dxfId="920">
      <pivotArea dataOnly="0" labelOnly="1" grandRow="1" outline="0" fieldPosition="0"/>
    </format>
    <format dxfId="919">
      <pivotArea dataOnly="0" labelOnly="1" outline="0" axis="axisValues" fieldPosition="0"/>
    </format>
    <format dxfId="918">
      <pivotArea type="all" dataOnly="0" outline="0" fieldPosition="0"/>
    </format>
    <format dxfId="917">
      <pivotArea outline="0" collapsedLevelsAreSubtotals="1" fieldPosition="0"/>
    </format>
    <format dxfId="916">
      <pivotArea field="3" type="button" dataOnly="0" labelOnly="1" outline="0" axis="axisRow" fieldPosition="0"/>
    </format>
    <format dxfId="915">
      <pivotArea dataOnly="0" labelOnly="1" fieldPosition="0">
        <references count="1">
          <reference field="3" count="3">
            <x v="2"/>
            <x v="3"/>
            <x v="4"/>
          </reference>
        </references>
      </pivotArea>
    </format>
    <format dxfId="914">
      <pivotArea dataOnly="0" labelOnly="1" grandRow="1" outline="0" fieldPosition="0"/>
    </format>
    <format dxfId="913">
      <pivotArea dataOnly="0" labelOnly="1" outline="0" axis="axisValues" fieldPosition="0"/>
    </format>
  </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93C22F-BD33-4DB4-89B2-390BA3E1B1B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7">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3">
    <i>
      <x v="11"/>
    </i>
    <i>
      <x v="19"/>
    </i>
    <i t="grand">
      <x/>
    </i>
  </rowItems>
  <colItems count="1">
    <i/>
  </colItems>
  <dataFields count="1">
    <dataField name="Count of Total Amount" fld="6" subtotal="count" baseField="0" baseItem="0"/>
  </dataFields>
  <formats count="6">
    <format dxfId="912">
      <pivotArea type="all" dataOnly="0" outline="0" fieldPosition="0"/>
    </format>
    <format dxfId="911">
      <pivotArea outline="0" collapsedLevelsAreSubtotals="1" fieldPosition="0"/>
    </format>
    <format dxfId="910">
      <pivotArea field="18" type="button" dataOnly="0" labelOnly="1" outline="0" axis="axisRow" fieldPosition="0"/>
    </format>
    <format dxfId="909">
      <pivotArea dataOnly="0" labelOnly="1" fieldPosition="0">
        <references count="1">
          <reference field="18" count="2">
            <x v="11"/>
            <x v="19"/>
          </reference>
        </references>
      </pivotArea>
    </format>
    <format dxfId="908">
      <pivotArea dataOnly="0" labelOnly="1" grandRow="1" outline="0" fieldPosition="0"/>
    </format>
    <format dxfId="907">
      <pivotArea dataOnly="0" labelOnly="1" outline="0" axis="axisValues" fieldPosition="0"/>
    </format>
  </format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F320DF-024E-430E-AF87-991E7EEB156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27">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Total Amount" fld="6" baseField="0" baseItem="0"/>
  </dataFields>
  <formats count="6">
    <format dxfId="906">
      <pivotArea type="all" dataOnly="0" outline="0" fieldPosition="0"/>
    </format>
    <format dxfId="905">
      <pivotArea outline="0" collapsedLevelsAreSubtotals="1" fieldPosition="0"/>
    </format>
    <format dxfId="904">
      <pivotArea field="3" type="button" dataOnly="0" labelOnly="1" outline="0" axis="axisRow" fieldPosition="0"/>
    </format>
    <format dxfId="903">
      <pivotArea dataOnly="0" labelOnly="1" fieldPosition="0">
        <references count="1">
          <reference field="3" count="0"/>
        </references>
      </pivotArea>
    </format>
    <format dxfId="902">
      <pivotArea dataOnly="0" labelOnly="1" grandRow="1" outline="0" fieldPosition="0"/>
    </format>
    <format dxfId="9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FE0B1B-B0EE-4D7B-8D0F-54B43F1D193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9" firstHeaderRow="1" firstDataRow="1" firstDataCol="1"/>
  <pivotFields count="27">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3"/>
    </i>
    <i>
      <x v="4"/>
    </i>
    <i t="grand">
      <x/>
    </i>
  </rowItems>
  <colItems count="1">
    <i/>
  </colItems>
  <dataFields count="1">
    <dataField name="Sum of Total Amount" fld="6" baseField="0" baseItem="0"/>
  </dataFields>
  <formats count="12">
    <format dxfId="900">
      <pivotArea type="all" dataOnly="0" outline="0" fieldPosition="0"/>
    </format>
    <format dxfId="899">
      <pivotArea outline="0" collapsedLevelsAreSubtotals="1" fieldPosition="0"/>
    </format>
    <format dxfId="898">
      <pivotArea field="7" type="button" dataOnly="0" labelOnly="1" outline="0" axis="axisRow" fieldPosition="0"/>
    </format>
    <format dxfId="897">
      <pivotArea dataOnly="0" labelOnly="1" fieldPosition="0">
        <references count="1">
          <reference field="7" count="0"/>
        </references>
      </pivotArea>
    </format>
    <format dxfId="896">
      <pivotArea dataOnly="0" labelOnly="1" grandRow="1" outline="0" fieldPosition="0"/>
    </format>
    <format dxfId="895">
      <pivotArea dataOnly="0" labelOnly="1" outline="0" axis="axisValues" fieldPosition="0"/>
    </format>
    <format dxfId="894">
      <pivotArea type="all" dataOnly="0" outline="0" fieldPosition="0"/>
    </format>
    <format dxfId="893">
      <pivotArea outline="0" collapsedLevelsAreSubtotals="1" fieldPosition="0"/>
    </format>
    <format dxfId="892">
      <pivotArea field="7" type="button" dataOnly="0" labelOnly="1" outline="0" axis="axisRow" fieldPosition="0"/>
    </format>
    <format dxfId="891">
      <pivotArea dataOnly="0" labelOnly="1" fieldPosition="0">
        <references count="1">
          <reference field="7" count="0"/>
        </references>
      </pivotArea>
    </format>
    <format dxfId="890">
      <pivotArea dataOnly="0" labelOnly="1" grandRow="1" outline="0" fieldPosition="0"/>
    </format>
    <format dxfId="889">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AAA643-0430-4D83-8F4E-4FEC0762A34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27">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Total Amount" fld="6" baseField="0" baseItem="0"/>
  </dataFields>
  <formats count="12">
    <format dxfId="888">
      <pivotArea type="all" dataOnly="0" outline="0" fieldPosition="0"/>
    </format>
    <format dxfId="887">
      <pivotArea outline="0" collapsedLevelsAreSubtotals="1" fieldPosition="0"/>
    </format>
    <format dxfId="886">
      <pivotArea field="8" type="button" dataOnly="0" labelOnly="1" outline="0" axis="axisRow" fieldPosition="0"/>
    </format>
    <format dxfId="885">
      <pivotArea dataOnly="0" labelOnly="1" fieldPosition="0">
        <references count="1">
          <reference field="8" count="0"/>
        </references>
      </pivotArea>
    </format>
    <format dxfId="884">
      <pivotArea dataOnly="0" labelOnly="1" grandRow="1" outline="0" fieldPosition="0"/>
    </format>
    <format dxfId="883">
      <pivotArea dataOnly="0" labelOnly="1" outline="0" axis="axisValues" fieldPosition="0"/>
    </format>
    <format dxfId="882">
      <pivotArea type="all" dataOnly="0" outline="0" fieldPosition="0"/>
    </format>
    <format dxfId="881">
      <pivotArea outline="0" collapsedLevelsAreSubtotals="1" fieldPosition="0"/>
    </format>
    <format dxfId="880">
      <pivotArea field="8" type="button" dataOnly="0" labelOnly="1" outline="0" axis="axisRow" fieldPosition="0"/>
    </format>
    <format dxfId="879">
      <pivotArea dataOnly="0" labelOnly="1" fieldPosition="0">
        <references count="1">
          <reference field="8" count="0"/>
        </references>
      </pivotArea>
    </format>
    <format dxfId="878">
      <pivotArea dataOnly="0" labelOnly="1" grandRow="1" outline="0" fieldPosition="0"/>
    </format>
    <format dxfId="877">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8" count="1" selected="0">
            <x v="0"/>
          </reference>
        </references>
      </pivotArea>
    </chartFormat>
    <chartFormat chart="25" format="10">
      <pivotArea type="data" outline="0" fieldPosition="0">
        <references count="2">
          <reference field="4294967294" count="1" selected="0">
            <x v="0"/>
          </reference>
          <reference field="8" count="1" selected="0">
            <x v="1"/>
          </reference>
        </references>
      </pivotArea>
    </chartFormat>
    <chartFormat chart="2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B90260-17ED-41E6-AC8B-CFF7FC892BA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6" firstHeaderRow="1" firstDataRow="1" firstDataCol="1"/>
  <pivotFields count="27">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 Amount" fld="6" baseField="0" baseItem="0"/>
  </dataFields>
  <formats count="12">
    <format dxfId="876">
      <pivotArea type="all" dataOnly="0" outline="0" fieldPosition="0"/>
    </format>
    <format dxfId="875">
      <pivotArea outline="0" collapsedLevelsAreSubtotals="1" fieldPosition="0"/>
    </format>
    <format dxfId="874">
      <pivotArea field="20" type="button" dataOnly="0" labelOnly="1" outline="0" axis="axisRow" fieldPosition="0"/>
    </format>
    <format dxfId="873">
      <pivotArea dataOnly="0" labelOnly="1" fieldPosition="0">
        <references count="1">
          <reference field="20" count="12">
            <x v="1"/>
            <x v="2"/>
            <x v="3"/>
            <x v="4"/>
            <x v="5"/>
            <x v="6"/>
            <x v="7"/>
            <x v="8"/>
            <x v="9"/>
            <x v="10"/>
            <x v="11"/>
            <x v="12"/>
          </reference>
        </references>
      </pivotArea>
    </format>
    <format dxfId="872">
      <pivotArea dataOnly="0" labelOnly="1" grandRow="1" outline="0" fieldPosition="0"/>
    </format>
    <format dxfId="871">
      <pivotArea dataOnly="0" labelOnly="1" outline="0" axis="axisValues" fieldPosition="0"/>
    </format>
    <format dxfId="870">
      <pivotArea type="all" dataOnly="0" outline="0" fieldPosition="0"/>
    </format>
    <format dxfId="869">
      <pivotArea outline="0" collapsedLevelsAreSubtotals="1" fieldPosition="0"/>
    </format>
    <format dxfId="868">
      <pivotArea field="20" type="button" dataOnly="0" labelOnly="1" outline="0" axis="axisRow" fieldPosition="0"/>
    </format>
    <format dxfId="867">
      <pivotArea dataOnly="0" labelOnly="1" fieldPosition="0">
        <references count="1">
          <reference field="20" count="12">
            <x v="1"/>
            <x v="2"/>
            <x v="3"/>
            <x v="4"/>
            <x v="5"/>
            <x v="6"/>
            <x v="7"/>
            <x v="8"/>
            <x v="9"/>
            <x v="10"/>
            <x v="11"/>
            <x v="12"/>
          </reference>
        </references>
      </pivotArea>
    </format>
    <format dxfId="866">
      <pivotArea dataOnly="0" labelOnly="1" grandRow="1" outline="0" fieldPosition="0"/>
    </format>
    <format dxfId="865">
      <pivotArea dataOnly="0" labelOnly="1" outline="0" axis="axisValues" fieldPosition="0"/>
    </format>
  </formats>
  <chartFormats count="3">
    <chartFormat chart="16"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A97E85-D494-4135-9389-83C44363D48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8:AT9" firstHeaderRow="1" firstDataRow="1" firstDataCol="0"/>
  <pivotFields count="27">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955FC0-CBE1-40A8-94D8-BD2B17D1F95B}" sourceName="Region">
  <pivotTables>
    <pivotTable tabId="24" name="PivotTable2"/>
    <pivotTable tabId="31" name="PivotTable1"/>
    <pivotTable tabId="25" name="PivotTable3"/>
    <pivotTable tabId="35" name="PivotTable1"/>
    <pivotTable tabId="27" name="PivotTable5"/>
    <pivotTable tabId="38" name="PivotTable2"/>
  </pivotTables>
  <data>
    <tabular pivotCacheId="422461824">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192096A-1796-4C02-B712-465F8607F520}" sourceName="Payment Method">
  <pivotTables>
    <pivotTable tabId="24" name="PivotTable2"/>
    <pivotTable tabId="31" name="PivotTable1"/>
    <pivotTable tabId="25" name="PivotTable3"/>
    <pivotTable tabId="35" name="PivotTable1"/>
    <pivotTable tabId="27" name="PivotTable5"/>
    <pivotTable tabId="38" name="PivotTable2"/>
  </pivotTables>
  <data>
    <tabular pivotCacheId="422461824">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CA96912-BEBB-4BDC-A4D0-035277E20842}" sourceName="Delivery Status">
  <pivotTables>
    <pivotTable tabId="24" name="PivotTable2"/>
    <pivotTable tabId="31" name="PivotTable1"/>
    <pivotTable tabId="25" name="PivotTable3"/>
    <pivotTable tabId="35" name="PivotTable1"/>
    <pivotTable tabId="27" name="PivotTable5"/>
    <pivotTable tabId="38" name="PivotTable2"/>
  </pivotTables>
  <data>
    <tabular pivotCacheId="42246182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2CA4DD-6844-4156-9220-6A0666B3CB10}" cache="Slicer_Region" caption="Region" rowHeight="234950"/>
  <slicer name="Payment Method" xr10:uid="{2A3E00C5-C543-4F05-A967-3103C315A3AE}" cache="Slicer_Payment_Method" caption="Payment Method" rowHeight="234950"/>
  <slicer name="Delivery Status" xr10:uid="{EC858334-E014-434A-8867-E43545684EF2}" cache="Slicer_Delivery_Status" caption="Delivery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1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workbookViewId="0">
      <selection activeCell="F20" sqref="F20"/>
    </sheetView>
  </sheetViews>
  <sheetFormatPr defaultRowHeight="14.4" x14ac:dyDescent="0.3"/>
  <cols>
    <col min="1" max="1" width="8.6640625" bestFit="1" customWidth="1"/>
    <col min="2" max="2" width="11.109375" bestFit="1" customWidth="1"/>
    <col min="3" max="3" width="9.5546875" bestFit="1" customWidth="1"/>
    <col min="4" max="4" width="6.88671875" bestFit="1" customWidth="1"/>
    <col min="5" max="5" width="13.109375" bestFit="1" customWidth="1"/>
    <col min="6" max="6" width="8" bestFit="1" customWidth="1"/>
    <col min="7" max="7" width="12.109375" bestFit="1" customWidth="1"/>
    <col min="8" max="8" width="15.109375" bestFit="1" customWidth="1"/>
    <col min="9" max="9" width="13.109375" bestFit="1" customWidth="1"/>
    <col min="10" max="10" width="16.109375" bestFit="1" customWidth="1"/>
    <col min="11" max="11" width="10.33203125" bestFit="1" customWidth="1"/>
    <col min="12" max="12" width="11.88671875" bestFit="1" customWidth="1"/>
    <col min="13" max="13" width="10.77734375" bestFit="1" customWidth="1"/>
    <col min="15" max="15" width="11.88671875" customWidth="1"/>
    <col min="16" max="16" width="15" customWidth="1"/>
    <col min="17" max="17" width="14.88671875" customWidth="1"/>
    <col min="18" max="18" width="15.33203125" customWidth="1"/>
    <col min="19" max="19" width="13.44140625" customWidth="1"/>
  </cols>
  <sheetData>
    <row r="1" spans="1:19" x14ac:dyDescent="0.3">
      <c r="A1" s="1" t="s">
        <v>51</v>
      </c>
      <c r="B1" s="1" t="s">
        <v>52</v>
      </c>
      <c r="C1" s="1" t="s">
        <v>0</v>
      </c>
      <c r="D1" s="1" t="s">
        <v>1</v>
      </c>
      <c r="E1" s="1" t="s">
        <v>2</v>
      </c>
      <c r="F1" s="1" t="s">
        <v>3</v>
      </c>
      <c r="G1" s="1" t="s">
        <v>4</v>
      </c>
      <c r="H1" s="1" t="s">
        <v>5</v>
      </c>
      <c r="I1" s="1" t="s">
        <v>6</v>
      </c>
      <c r="J1" s="1" t="s">
        <v>7</v>
      </c>
      <c r="K1" s="2" t="s">
        <v>8</v>
      </c>
      <c r="L1" s="2" t="s">
        <v>9</v>
      </c>
      <c r="M1" s="2" t="s">
        <v>10</v>
      </c>
      <c r="N1" s="3" t="s">
        <v>311</v>
      </c>
      <c r="O1" s="3" t="s">
        <v>316</v>
      </c>
      <c r="P1" s="3" t="s">
        <v>317</v>
      </c>
      <c r="Q1" s="15" t="s">
        <v>321</v>
      </c>
      <c r="R1" s="15" t="s">
        <v>322</v>
      </c>
      <c r="S1" s="15" t="s">
        <v>329</v>
      </c>
    </row>
    <row r="2" spans="1:19" x14ac:dyDescent="0.3">
      <c r="A2" s="1" t="s">
        <v>54</v>
      </c>
      <c r="B2" s="1" t="s">
        <v>55</v>
      </c>
      <c r="C2" s="1" t="s">
        <v>11</v>
      </c>
      <c r="D2" s="1" t="s">
        <v>12</v>
      </c>
      <c r="E2" s="1">
        <v>44</v>
      </c>
      <c r="F2" s="1">
        <v>1</v>
      </c>
      <c r="G2" s="1">
        <v>44</v>
      </c>
      <c r="H2" s="1" t="s">
        <v>13</v>
      </c>
      <c r="I2" s="1" t="s">
        <v>14</v>
      </c>
      <c r="J2" s="1" t="s">
        <v>15</v>
      </c>
      <c r="K2" s="2">
        <v>45291</v>
      </c>
      <c r="L2" s="2"/>
      <c r="M2" s="2">
        <v>45293</v>
      </c>
      <c r="N2" t="str">
        <f>IF(OR(I2="Cancelled",M2&lt;&gt;""),"Yes","No")</f>
        <v>Yes</v>
      </c>
      <c r="O2" t="str">
        <f>_xlfn.XLOOKUP(Orders!C2,'Product Master'!$A$1:$A$23,'Product Master'!$C$1:$C$23)</f>
        <v>Home</v>
      </c>
      <c r="P2" t="str">
        <f>IF(L2&lt;&gt;"",L2-K2,"NA")</f>
        <v>NA</v>
      </c>
      <c r="Q2" t="str">
        <f>_xlfn.XLOOKUP(B2,'Customer Master'!$A$1:$A$50,'Customer Master'!$B$1:$B$50)</f>
        <v>Zoe Mitchell</v>
      </c>
      <c r="R2" t="str" cm="1">
        <f t="array" ref="R2">_xlfn.IFS(P2="NA","NA",P2&lt;=2,"FAST",P2&gt;2,"SLOW")</f>
        <v>NA</v>
      </c>
      <c r="S2" t="str">
        <f>_xlfn.XLOOKUP(Orders!C2,'Product Master'!$A$1:$A$23,'Product Master'!$B$1:$B$23)</f>
        <v>Lamp</v>
      </c>
    </row>
    <row r="3" spans="1:19" x14ac:dyDescent="0.3">
      <c r="A3" s="1" t="s">
        <v>56</v>
      </c>
      <c r="B3" s="1" t="s">
        <v>57</v>
      </c>
      <c r="C3" s="1" t="s">
        <v>16</v>
      </c>
      <c r="D3" s="1" t="s">
        <v>17</v>
      </c>
      <c r="E3" s="1">
        <v>96</v>
      </c>
      <c r="F3" s="1">
        <v>4</v>
      </c>
      <c r="G3" s="1">
        <v>384</v>
      </c>
      <c r="H3" s="1" t="s">
        <v>18</v>
      </c>
      <c r="I3" s="1" t="s">
        <v>19</v>
      </c>
      <c r="J3" s="1" t="s">
        <v>15</v>
      </c>
      <c r="K3" s="2">
        <v>44979</v>
      </c>
      <c r="L3" s="2">
        <v>44981</v>
      </c>
      <c r="M3" s="2"/>
      <c r="N3" t="str">
        <f t="shared" ref="N3:N66" si="0">IF(OR(I3="Cancelled",M3&lt;&gt;""),"Yes","No")</f>
        <v>No</v>
      </c>
      <c r="O3" t="str">
        <f>_xlfn.XLOOKUP(Orders!C3,'Product Master'!$A$1:$A$23,'Product Master'!$C$1:$C$23)</f>
        <v>Toys</v>
      </c>
      <c r="P3">
        <f t="shared" ref="P3:P66" si="1">IF(L3&lt;&gt;"",L3-K3,"NA")</f>
        <v>2</v>
      </c>
      <c r="Q3" t="str">
        <f>_xlfn.XLOOKUP(B3,'Customer Master'!$A$1:$A$50,'Customer Master'!$B$1:$B$50)</f>
        <v>Ava White</v>
      </c>
      <c r="R3" t="str" cm="1">
        <f t="array" ref="R3">_xlfn.IFS(P3="NA","NA",P3&lt;=2,"FAST",P3&gt;2,"SLOW")</f>
        <v>FAST</v>
      </c>
      <c r="S3" t="str">
        <f>_xlfn.XLOOKUP(Orders!C3,'Product Master'!$A$1:$A$23,'Product Master'!$B$1:$B$23)</f>
        <v>Doll House</v>
      </c>
    </row>
    <row r="4" spans="1:19" x14ac:dyDescent="0.3">
      <c r="A4" s="1" t="s">
        <v>58</v>
      </c>
      <c r="B4" s="1" t="s">
        <v>55</v>
      </c>
      <c r="C4" s="1" t="s">
        <v>20</v>
      </c>
      <c r="D4" s="1" t="s">
        <v>21</v>
      </c>
      <c r="E4" s="1">
        <v>194</v>
      </c>
      <c r="F4" s="1">
        <v>4</v>
      </c>
      <c r="G4" s="1">
        <v>776</v>
      </c>
      <c r="H4" s="1" t="s">
        <v>18</v>
      </c>
      <c r="I4" s="1" t="s">
        <v>22</v>
      </c>
      <c r="J4" s="1" t="s">
        <v>23</v>
      </c>
      <c r="K4" s="2">
        <v>45210</v>
      </c>
      <c r="L4" s="2"/>
      <c r="M4" s="2"/>
      <c r="N4" t="str">
        <f t="shared" si="0"/>
        <v>No</v>
      </c>
      <c r="O4" t="str">
        <f>_xlfn.XLOOKUP(Orders!C4,'Product Master'!$A$1:$A$23,'Product Master'!$C$1:$C$23)</f>
        <v>Home</v>
      </c>
      <c r="P4" t="str">
        <f t="shared" si="1"/>
        <v>NA</v>
      </c>
      <c r="Q4" t="str">
        <f>_xlfn.XLOOKUP(B4,'Customer Master'!$A$1:$A$50,'Customer Master'!$B$1:$B$50)</f>
        <v>Zoe Mitchell</v>
      </c>
      <c r="R4" t="str" cm="1">
        <f t="array" ref="R4">_xlfn.IFS(P4="NA","NA",P4&lt;=2,"FAST",P4&gt;2,"SLOW")</f>
        <v>NA</v>
      </c>
      <c r="S4" t="str">
        <f>_xlfn.XLOOKUP(Orders!C4,'Product Master'!$A$1:$A$23,'Product Master'!$B$1:$B$23)</f>
        <v>Vacuum Cleaner</v>
      </c>
    </row>
    <row r="5" spans="1:19" x14ac:dyDescent="0.3">
      <c r="A5" s="1" t="s">
        <v>59</v>
      </c>
      <c r="B5" s="1" t="s">
        <v>60</v>
      </c>
      <c r="C5" s="1" t="s">
        <v>20</v>
      </c>
      <c r="D5" s="1" t="s">
        <v>12</v>
      </c>
      <c r="E5" s="1">
        <v>196</v>
      </c>
      <c r="F5" s="1">
        <v>3</v>
      </c>
      <c r="G5" s="1">
        <v>588</v>
      </c>
      <c r="H5" s="1" t="s">
        <v>24</v>
      </c>
      <c r="I5" s="1" t="s">
        <v>14</v>
      </c>
      <c r="J5" s="1" t="s">
        <v>25</v>
      </c>
      <c r="K5" s="2">
        <v>45051</v>
      </c>
      <c r="L5" s="2"/>
      <c r="M5" s="2">
        <v>45057</v>
      </c>
      <c r="N5" t="str">
        <f t="shared" si="0"/>
        <v>Yes</v>
      </c>
      <c r="O5" t="str">
        <f>_xlfn.XLOOKUP(Orders!C5,'Product Master'!$A$1:$A$23,'Product Master'!$C$1:$C$23)</f>
        <v>Home</v>
      </c>
      <c r="P5" t="str">
        <f t="shared" si="1"/>
        <v>NA</v>
      </c>
      <c r="Q5" t="str">
        <f>_xlfn.XLOOKUP(B5,'Customer Master'!$A$1:$A$50,'Customer Master'!$B$1:$B$50)</f>
        <v>Grace Ward</v>
      </c>
      <c r="R5" t="str" cm="1">
        <f t="array" ref="R5">_xlfn.IFS(P5="NA","NA",P5&lt;=2,"FAST",P5&gt;2,"SLOW")</f>
        <v>NA</v>
      </c>
      <c r="S5" t="str">
        <f>_xlfn.XLOOKUP(Orders!C5,'Product Master'!$A$1:$A$23,'Product Master'!$B$1:$B$23)</f>
        <v>Vacuum Cleaner</v>
      </c>
    </row>
    <row r="6" spans="1:19" x14ac:dyDescent="0.3">
      <c r="A6" s="1" t="s">
        <v>61</v>
      </c>
      <c r="B6" s="1" t="s">
        <v>62</v>
      </c>
      <c r="C6" s="1" t="s">
        <v>26</v>
      </c>
      <c r="D6" s="1" t="s">
        <v>12</v>
      </c>
      <c r="E6" s="1">
        <v>59</v>
      </c>
      <c r="F6" s="1">
        <v>1</v>
      </c>
      <c r="G6" s="1">
        <v>59</v>
      </c>
      <c r="H6" s="1" t="s">
        <v>24</v>
      </c>
      <c r="I6" s="1" t="s">
        <v>19</v>
      </c>
      <c r="J6" s="1" t="s">
        <v>27</v>
      </c>
      <c r="K6" s="2">
        <v>44959</v>
      </c>
      <c r="L6" s="2">
        <v>44962</v>
      </c>
      <c r="M6" s="2"/>
      <c r="N6" t="str">
        <f t="shared" si="0"/>
        <v>No</v>
      </c>
      <c r="O6" t="str">
        <f>_xlfn.XLOOKUP(Orders!C6,'Product Master'!$A$1:$A$23,'Product Master'!$C$1:$C$23)</f>
        <v>Fashion</v>
      </c>
      <c r="P6">
        <f t="shared" si="1"/>
        <v>3</v>
      </c>
      <c r="Q6" t="str">
        <f>_xlfn.XLOOKUP(B6,'Customer Master'!$A$1:$A$50,'Customer Master'!$B$1:$B$50)</f>
        <v>Hazel Brooks</v>
      </c>
      <c r="R6" t="str" cm="1">
        <f t="array" ref="R6">_xlfn.IFS(P6="NA","NA",P6&lt;=2,"FAST",P6&gt;2,"SLOW")</f>
        <v>SLOW</v>
      </c>
      <c r="S6" t="str">
        <f>_xlfn.XLOOKUP(Orders!C6,'Product Master'!$A$1:$A$23,'Product Master'!$B$1:$B$23)</f>
        <v>Jeans</v>
      </c>
    </row>
    <row r="7" spans="1:19" x14ac:dyDescent="0.3">
      <c r="A7" s="1" t="s">
        <v>63</v>
      </c>
      <c r="B7" s="1" t="s">
        <v>64</v>
      </c>
      <c r="C7" s="1" t="s">
        <v>26</v>
      </c>
      <c r="D7" s="1" t="s">
        <v>12</v>
      </c>
      <c r="E7" s="1">
        <v>58</v>
      </c>
      <c r="F7" s="1">
        <v>4</v>
      </c>
      <c r="G7" s="1">
        <v>232</v>
      </c>
      <c r="H7" s="1" t="s">
        <v>28</v>
      </c>
      <c r="I7" s="1" t="s">
        <v>14</v>
      </c>
      <c r="J7" s="1" t="s">
        <v>15</v>
      </c>
      <c r="K7" s="2">
        <v>45231</v>
      </c>
      <c r="L7" s="2"/>
      <c r="M7" s="2">
        <v>45232</v>
      </c>
      <c r="N7" t="str">
        <f t="shared" si="0"/>
        <v>Yes</v>
      </c>
      <c r="O7" t="str">
        <f>_xlfn.XLOOKUP(Orders!C7,'Product Master'!$A$1:$A$23,'Product Master'!$C$1:$C$23)</f>
        <v>Fashion</v>
      </c>
      <c r="P7" t="str">
        <f t="shared" si="1"/>
        <v>NA</v>
      </c>
      <c r="Q7" t="str">
        <f>_xlfn.XLOOKUP(B7,'Customer Master'!$A$1:$A$50,'Customer Master'!$B$1:$B$50)</f>
        <v>Jackson Allen</v>
      </c>
      <c r="R7" t="str" cm="1">
        <f t="array" ref="R7">_xlfn.IFS(P7="NA","NA",P7&lt;=2,"FAST",P7&gt;2,"SLOW")</f>
        <v>NA</v>
      </c>
      <c r="S7" t="str">
        <f>_xlfn.XLOOKUP(Orders!C7,'Product Master'!$A$1:$A$23,'Product Master'!$B$1:$B$23)</f>
        <v>Jeans</v>
      </c>
    </row>
    <row r="8" spans="1:19" x14ac:dyDescent="0.3">
      <c r="A8" s="1" t="s">
        <v>65</v>
      </c>
      <c r="B8" s="1" t="s">
        <v>66</v>
      </c>
      <c r="C8" s="1" t="s">
        <v>29</v>
      </c>
      <c r="D8" s="1" t="s">
        <v>30</v>
      </c>
      <c r="E8" s="1">
        <v>105</v>
      </c>
      <c r="F8" s="1">
        <v>3</v>
      </c>
      <c r="G8" s="1">
        <v>315</v>
      </c>
      <c r="H8" s="1" t="s">
        <v>31</v>
      </c>
      <c r="I8" s="1" t="s">
        <v>14</v>
      </c>
      <c r="J8" s="1" t="s">
        <v>15</v>
      </c>
      <c r="K8" s="2">
        <v>45152</v>
      </c>
      <c r="L8" s="2"/>
      <c r="M8" s="2">
        <v>45156</v>
      </c>
      <c r="N8" t="str">
        <f t="shared" si="0"/>
        <v>Yes</v>
      </c>
      <c r="O8" t="str">
        <f>_xlfn.XLOOKUP(Orders!C8,'Product Master'!$A$1:$A$23,'Product Master'!$C$1:$C$23)</f>
        <v>Electronics</v>
      </c>
      <c r="P8" t="str">
        <f t="shared" si="1"/>
        <v>NA</v>
      </c>
      <c r="Q8" t="str">
        <f>_xlfn.XLOOKUP(B8,'Customer Master'!$A$1:$A$50,'Customer Master'!$B$1:$B$50)</f>
        <v>Noah Wilson</v>
      </c>
      <c r="R8" t="str" cm="1">
        <f t="array" ref="R8">_xlfn.IFS(P8="NA","NA",P8&lt;=2,"FAST",P8&gt;2,"SLOW")</f>
        <v>NA</v>
      </c>
      <c r="S8" t="str">
        <f>_xlfn.XLOOKUP(Orders!C8,'Product Master'!$A$1:$A$23,'Product Master'!$B$1:$B$23)</f>
        <v>Bluetooth Speaker</v>
      </c>
    </row>
    <row r="9" spans="1:19" x14ac:dyDescent="0.3">
      <c r="A9" s="1" t="s">
        <v>67</v>
      </c>
      <c r="B9" s="1" t="s">
        <v>68</v>
      </c>
      <c r="C9" s="1" t="s">
        <v>32</v>
      </c>
      <c r="D9" s="1" t="s">
        <v>33</v>
      </c>
      <c r="E9" s="1">
        <v>37</v>
      </c>
      <c r="F9" s="1">
        <v>5</v>
      </c>
      <c r="G9" s="1">
        <v>185</v>
      </c>
      <c r="H9" s="1" t="s">
        <v>24</v>
      </c>
      <c r="I9" s="1" t="s">
        <v>14</v>
      </c>
      <c r="J9" s="1" t="s">
        <v>15</v>
      </c>
      <c r="K9" s="2">
        <v>45017</v>
      </c>
      <c r="L9" s="2"/>
      <c r="M9" s="2">
        <v>45022</v>
      </c>
      <c r="N9" t="str">
        <f t="shared" si="0"/>
        <v>Yes</v>
      </c>
      <c r="O9" t="str">
        <f>_xlfn.XLOOKUP(Orders!C9,'Product Master'!$A$1:$A$23,'Product Master'!$C$1:$C$23)</f>
        <v>Home</v>
      </c>
      <c r="P9" t="str">
        <f t="shared" si="1"/>
        <v>NA</v>
      </c>
      <c r="Q9" t="str">
        <f>_xlfn.XLOOKUP(B9,'Customer Master'!$A$1:$A$50,'Customer Master'!$B$1:$B$50)</f>
        <v>Ava Robinson</v>
      </c>
      <c r="R9" t="str" cm="1">
        <f t="array" ref="R9">_xlfn.IFS(P9="NA","NA",P9&lt;=2,"FAST",P9&gt;2,"SLOW")</f>
        <v>NA</v>
      </c>
      <c r="S9" t="str">
        <f>_xlfn.XLOOKUP(Orders!C9,'Product Master'!$A$1:$A$23,'Product Master'!$B$1:$B$23)</f>
        <v>Wall Clock</v>
      </c>
    </row>
    <row r="10" spans="1:19" x14ac:dyDescent="0.3">
      <c r="A10" s="1" t="s">
        <v>69</v>
      </c>
      <c r="B10" s="1" t="s">
        <v>70</v>
      </c>
      <c r="C10" s="1" t="s">
        <v>34</v>
      </c>
      <c r="D10" s="1" t="s">
        <v>30</v>
      </c>
      <c r="E10" s="1">
        <v>44</v>
      </c>
      <c r="F10" s="1">
        <v>2</v>
      </c>
      <c r="G10" s="1">
        <v>88</v>
      </c>
      <c r="H10" s="1" t="s">
        <v>18</v>
      </c>
      <c r="I10" s="1" t="s">
        <v>22</v>
      </c>
      <c r="J10" s="1" t="s">
        <v>27</v>
      </c>
      <c r="K10" s="2">
        <v>45128</v>
      </c>
      <c r="L10" s="2"/>
      <c r="M10" s="2"/>
      <c r="N10" t="str">
        <f t="shared" si="0"/>
        <v>No</v>
      </c>
      <c r="O10" t="str">
        <f>_xlfn.XLOOKUP(Orders!C10,'Product Master'!$A$1:$A$23,'Product Master'!$C$1:$C$23)</f>
        <v>Fashion</v>
      </c>
      <c r="P10" t="str">
        <f t="shared" si="1"/>
        <v>NA</v>
      </c>
      <c r="Q10" t="str">
        <f>_xlfn.XLOOKUP(B10,'Customer Master'!$A$1:$A$50,'Customer Master'!$B$1:$B$50)</f>
        <v>Olivia Martinez</v>
      </c>
      <c r="R10" t="str" cm="1">
        <f t="array" ref="R10">_xlfn.IFS(P10="NA","NA",P10&lt;=2,"FAST",P10&gt;2,"SLOW")</f>
        <v>NA</v>
      </c>
      <c r="S10" t="str">
        <f>_xlfn.XLOOKUP(Orders!C10,'Product Master'!$A$1:$A$23,'Product Master'!$B$1:$B$23)</f>
        <v>Formal Shirt</v>
      </c>
    </row>
    <row r="11" spans="1:19" x14ac:dyDescent="0.3">
      <c r="A11" s="1" t="s">
        <v>71</v>
      </c>
      <c r="B11" s="1" t="s">
        <v>68</v>
      </c>
      <c r="C11" s="1" t="s">
        <v>35</v>
      </c>
      <c r="D11" s="1" t="s">
        <v>21</v>
      </c>
      <c r="E11" s="1">
        <v>141</v>
      </c>
      <c r="F11" s="1">
        <v>4</v>
      </c>
      <c r="G11" s="1">
        <v>564</v>
      </c>
      <c r="H11" s="1" t="s">
        <v>31</v>
      </c>
      <c r="I11" s="1" t="s">
        <v>22</v>
      </c>
      <c r="J11" s="1" t="s">
        <v>15</v>
      </c>
      <c r="K11" s="2">
        <v>45289</v>
      </c>
      <c r="L11" s="2"/>
      <c r="M11" s="2"/>
      <c r="N11" t="str">
        <f t="shared" si="0"/>
        <v>No</v>
      </c>
      <c r="O11" t="str">
        <f>_xlfn.XLOOKUP(Orders!C11,'Product Master'!$A$1:$A$23,'Product Master'!$C$1:$C$23)</f>
        <v>Home</v>
      </c>
      <c r="P11" t="str">
        <f t="shared" si="1"/>
        <v>NA</v>
      </c>
      <c r="Q11" t="str">
        <f>_xlfn.XLOOKUP(B11,'Customer Master'!$A$1:$A$50,'Customer Master'!$B$1:$B$50)</f>
        <v>Ava Robinson</v>
      </c>
      <c r="R11" t="str" cm="1">
        <f t="array" ref="R11">_xlfn.IFS(P11="NA","NA",P11&lt;=2,"FAST",P11&gt;2,"SLOW")</f>
        <v>NA</v>
      </c>
      <c r="S11" t="str">
        <f>_xlfn.XLOOKUP(Orders!C11,'Product Master'!$A$1:$A$23,'Product Master'!$B$1:$B$23)</f>
        <v>Cookware Set</v>
      </c>
    </row>
    <row r="12" spans="1:19" x14ac:dyDescent="0.3">
      <c r="A12" s="1" t="s">
        <v>72</v>
      </c>
      <c r="B12" s="1" t="s">
        <v>73</v>
      </c>
      <c r="C12" s="1" t="s">
        <v>36</v>
      </c>
      <c r="D12" s="1" t="s">
        <v>21</v>
      </c>
      <c r="E12" s="1">
        <v>249</v>
      </c>
      <c r="F12" s="1">
        <v>1</v>
      </c>
      <c r="G12" s="1">
        <v>249</v>
      </c>
      <c r="H12" s="1" t="s">
        <v>28</v>
      </c>
      <c r="I12" s="1" t="s">
        <v>14</v>
      </c>
      <c r="J12" s="1" t="s">
        <v>23</v>
      </c>
      <c r="K12" s="2">
        <v>45050</v>
      </c>
      <c r="L12" s="2"/>
      <c r="M12" s="2">
        <v>45054</v>
      </c>
      <c r="N12" t="str">
        <f t="shared" si="0"/>
        <v>Yes</v>
      </c>
      <c r="O12" t="str">
        <f>_xlfn.XLOOKUP(Orders!C12,'Product Master'!$A$1:$A$23,'Product Master'!$C$1:$C$23)</f>
        <v>Electronics</v>
      </c>
      <c r="P12" t="str">
        <f t="shared" si="1"/>
        <v>NA</v>
      </c>
      <c r="Q12" t="str">
        <f>_xlfn.XLOOKUP(B12,'Customer Master'!$A$1:$A$50,'Customer Master'!$B$1:$B$50)</f>
        <v>Emily Johnson</v>
      </c>
      <c r="R12" t="str" cm="1">
        <f t="array" ref="R12">_xlfn.IFS(P12="NA","NA",P12&lt;=2,"FAST",P12&gt;2,"SLOW")</f>
        <v>NA</v>
      </c>
      <c r="S12" t="str">
        <f>_xlfn.XLOOKUP(Orders!C12,'Product Master'!$A$1:$A$23,'Product Master'!$B$1:$B$23)</f>
        <v>Smartwatch</v>
      </c>
    </row>
    <row r="13" spans="1:19" x14ac:dyDescent="0.3">
      <c r="A13" s="1" t="s">
        <v>74</v>
      </c>
      <c r="B13" s="1" t="s">
        <v>75</v>
      </c>
      <c r="C13" s="1" t="s">
        <v>36</v>
      </c>
      <c r="D13" s="1" t="s">
        <v>30</v>
      </c>
      <c r="E13" s="1">
        <v>247</v>
      </c>
      <c r="F13" s="1">
        <v>3</v>
      </c>
      <c r="G13" s="1">
        <v>741</v>
      </c>
      <c r="H13" s="1" t="s">
        <v>28</v>
      </c>
      <c r="I13" s="1" t="s">
        <v>22</v>
      </c>
      <c r="J13" s="1" t="s">
        <v>37</v>
      </c>
      <c r="K13" s="2">
        <v>45132</v>
      </c>
      <c r="L13" s="2"/>
      <c r="M13" s="2"/>
      <c r="N13" t="str">
        <f t="shared" si="0"/>
        <v>No</v>
      </c>
      <c r="O13" t="str">
        <f>_xlfn.XLOOKUP(Orders!C13,'Product Master'!$A$1:$A$23,'Product Master'!$C$1:$C$23)</f>
        <v>Electronics</v>
      </c>
      <c r="P13" t="str">
        <f t="shared" si="1"/>
        <v>NA</v>
      </c>
      <c r="Q13" t="str">
        <f>_xlfn.XLOOKUP(B13,'Customer Master'!$A$1:$A$50,'Customer Master'!$B$1:$B$50)</f>
        <v>Emily Johnson</v>
      </c>
      <c r="R13" t="str" cm="1">
        <f t="array" ref="R13">_xlfn.IFS(P13="NA","NA",P13&lt;=2,"FAST",P13&gt;2,"SLOW")</f>
        <v>NA</v>
      </c>
      <c r="S13" t="str">
        <f>_xlfn.XLOOKUP(Orders!C13,'Product Master'!$A$1:$A$23,'Product Master'!$B$1:$B$23)</f>
        <v>Smartwatch</v>
      </c>
    </row>
    <row r="14" spans="1:19" x14ac:dyDescent="0.3">
      <c r="A14" s="1" t="s">
        <v>76</v>
      </c>
      <c r="B14" s="1" t="s">
        <v>77</v>
      </c>
      <c r="C14" s="1" t="s">
        <v>38</v>
      </c>
      <c r="D14" s="1" t="s">
        <v>30</v>
      </c>
      <c r="E14" s="1">
        <v>96</v>
      </c>
      <c r="F14" s="1">
        <v>1</v>
      </c>
      <c r="G14" s="1">
        <v>96</v>
      </c>
      <c r="H14" s="1" t="s">
        <v>13</v>
      </c>
      <c r="I14" s="1" t="s">
        <v>14</v>
      </c>
      <c r="J14" s="1" t="s">
        <v>27</v>
      </c>
      <c r="K14" s="2">
        <v>44982</v>
      </c>
      <c r="L14" s="2"/>
      <c r="M14" s="2">
        <v>44985</v>
      </c>
      <c r="N14" t="str">
        <f t="shared" si="0"/>
        <v>Yes</v>
      </c>
      <c r="O14" t="str">
        <f>_xlfn.XLOOKUP(Orders!C14,'Product Master'!$A$1:$A$23,'Product Master'!$C$1:$C$23)</f>
        <v>Fashion</v>
      </c>
      <c r="P14" t="str">
        <f t="shared" si="1"/>
        <v>NA</v>
      </c>
      <c r="Q14" t="str">
        <f>_xlfn.XLOOKUP(B14,'Customer Master'!$A$1:$A$50,'Customer Master'!$B$1:$B$50)</f>
        <v>Charlotte Reed</v>
      </c>
      <c r="R14" t="str" cm="1">
        <f t="array" ref="R14">_xlfn.IFS(P14="NA","NA",P14&lt;=2,"FAST",P14&gt;2,"SLOW")</f>
        <v>NA</v>
      </c>
      <c r="S14" t="str">
        <f>_xlfn.XLOOKUP(Orders!C14,'Product Master'!$A$1:$A$23,'Product Master'!$B$1:$B$23)</f>
        <v>Shoes</v>
      </c>
    </row>
    <row r="15" spans="1:19" x14ac:dyDescent="0.3">
      <c r="A15" s="1" t="s">
        <v>78</v>
      </c>
      <c r="B15" s="1" t="s">
        <v>79</v>
      </c>
      <c r="C15" s="1" t="s">
        <v>39</v>
      </c>
      <c r="D15" s="1" t="s">
        <v>33</v>
      </c>
      <c r="E15" s="1">
        <v>74</v>
      </c>
      <c r="F15" s="1">
        <v>5</v>
      </c>
      <c r="G15" s="1">
        <v>370</v>
      </c>
      <c r="H15" s="1" t="s">
        <v>13</v>
      </c>
      <c r="I15" s="1" t="s">
        <v>14</v>
      </c>
      <c r="J15" s="1" t="s">
        <v>27</v>
      </c>
      <c r="K15" s="2">
        <v>44981</v>
      </c>
      <c r="L15" s="2"/>
      <c r="M15" s="2">
        <v>44982</v>
      </c>
      <c r="N15" t="str">
        <f t="shared" si="0"/>
        <v>Yes</v>
      </c>
      <c r="O15" t="str">
        <f>_xlfn.XLOOKUP(Orders!C15,'Product Master'!$A$1:$A$23,'Product Master'!$C$1:$C$23)</f>
        <v>Electronics</v>
      </c>
      <c r="P15" t="str">
        <f t="shared" si="1"/>
        <v>NA</v>
      </c>
      <c r="Q15" t="str">
        <f>_xlfn.XLOOKUP(B15,'Customer Master'!$A$1:$A$50,'Customer Master'!$B$1:$B$50)</f>
        <v>Hazel Rivera</v>
      </c>
      <c r="R15" t="str" cm="1">
        <f t="array" ref="R15">_xlfn.IFS(P15="NA","NA",P15&lt;=2,"FAST",P15&gt;2,"SLOW")</f>
        <v>NA</v>
      </c>
      <c r="S15" t="str">
        <f>_xlfn.XLOOKUP(Orders!C15,'Product Master'!$A$1:$A$23,'Product Master'!$B$1:$B$23)</f>
        <v>Gaming Mouse</v>
      </c>
    </row>
    <row r="16" spans="1:19" x14ac:dyDescent="0.3">
      <c r="A16" s="1" t="s">
        <v>80</v>
      </c>
      <c r="B16" s="1" t="s">
        <v>79</v>
      </c>
      <c r="C16" s="1" t="s">
        <v>40</v>
      </c>
      <c r="D16" s="1" t="s">
        <v>21</v>
      </c>
      <c r="E16" s="1">
        <v>27</v>
      </c>
      <c r="F16" s="1">
        <v>1</v>
      </c>
      <c r="G16" s="1">
        <v>27</v>
      </c>
      <c r="H16" s="1" t="s">
        <v>18</v>
      </c>
      <c r="I16" s="1" t="s">
        <v>14</v>
      </c>
      <c r="J16" s="1" t="s">
        <v>27</v>
      </c>
      <c r="K16" s="2">
        <v>45164</v>
      </c>
      <c r="L16" s="2"/>
      <c r="M16" s="2">
        <v>45171</v>
      </c>
      <c r="N16" t="str">
        <f t="shared" si="0"/>
        <v>Yes</v>
      </c>
      <c r="O16" t="str">
        <f>_xlfn.XLOOKUP(Orders!C16,'Product Master'!$A$1:$A$23,'Product Master'!$C$1:$C$23)</f>
        <v>Fashion</v>
      </c>
      <c r="P16" t="str">
        <f t="shared" si="1"/>
        <v>NA</v>
      </c>
      <c r="Q16" t="str">
        <f>_xlfn.XLOOKUP(B16,'Customer Master'!$A$1:$A$50,'Customer Master'!$B$1:$B$50)</f>
        <v>Hazel Rivera</v>
      </c>
      <c r="R16" t="str" cm="1">
        <f t="array" ref="R16">_xlfn.IFS(P16="NA","NA",P16&lt;=2,"FAST",P16&gt;2,"SLOW")</f>
        <v>NA</v>
      </c>
      <c r="S16" t="str">
        <f>_xlfn.XLOOKUP(Orders!C16,'Product Master'!$A$1:$A$23,'Product Master'!$B$1:$B$23)</f>
        <v>T-Shirt</v>
      </c>
    </row>
    <row r="17" spans="1:19" x14ac:dyDescent="0.3">
      <c r="A17" s="1" t="s">
        <v>81</v>
      </c>
      <c r="B17" s="1" t="s">
        <v>82</v>
      </c>
      <c r="C17" s="1" t="s">
        <v>40</v>
      </c>
      <c r="D17" s="1" t="s">
        <v>21</v>
      </c>
      <c r="E17" s="1">
        <v>27</v>
      </c>
      <c r="F17" s="1">
        <v>3</v>
      </c>
      <c r="G17" s="1">
        <v>81</v>
      </c>
      <c r="H17" s="1" t="s">
        <v>31</v>
      </c>
      <c r="I17" s="1" t="s">
        <v>22</v>
      </c>
      <c r="J17" s="1" t="s">
        <v>27</v>
      </c>
      <c r="K17" s="2">
        <v>44970</v>
      </c>
      <c r="L17" s="2"/>
      <c r="M17" s="2"/>
      <c r="N17" t="str">
        <f t="shared" si="0"/>
        <v>No</v>
      </c>
      <c r="O17" t="str">
        <f>_xlfn.XLOOKUP(Orders!C17,'Product Master'!$A$1:$A$23,'Product Master'!$C$1:$C$23)</f>
        <v>Fashion</v>
      </c>
      <c r="P17" t="str">
        <f t="shared" si="1"/>
        <v>NA</v>
      </c>
      <c r="Q17" t="str">
        <f>_xlfn.XLOOKUP(B17,'Customer Master'!$A$1:$A$50,'Customer Master'!$B$1:$B$50)</f>
        <v>Scarlett Murphy</v>
      </c>
      <c r="R17" t="str" cm="1">
        <f t="array" ref="R17">_xlfn.IFS(P17="NA","NA",P17&lt;=2,"FAST",P17&gt;2,"SLOW")</f>
        <v>NA</v>
      </c>
      <c r="S17" t="str">
        <f>_xlfn.XLOOKUP(Orders!C17,'Product Master'!$A$1:$A$23,'Product Master'!$B$1:$B$23)</f>
        <v>T-Shirt</v>
      </c>
    </row>
    <row r="18" spans="1:19" x14ac:dyDescent="0.3">
      <c r="A18" s="1" t="s">
        <v>83</v>
      </c>
      <c r="B18" s="1" t="s">
        <v>75</v>
      </c>
      <c r="C18" s="1" t="s">
        <v>41</v>
      </c>
      <c r="D18" s="1" t="s">
        <v>17</v>
      </c>
      <c r="E18" s="1">
        <v>21</v>
      </c>
      <c r="F18" s="1">
        <v>3</v>
      </c>
      <c r="G18" s="1">
        <v>63</v>
      </c>
      <c r="H18" s="1" t="s">
        <v>18</v>
      </c>
      <c r="I18" s="1" t="s">
        <v>19</v>
      </c>
      <c r="J18" s="1" t="s">
        <v>15</v>
      </c>
      <c r="K18" s="2">
        <v>45105</v>
      </c>
      <c r="L18" s="2">
        <v>45108</v>
      </c>
      <c r="M18" s="2"/>
      <c r="N18" t="str">
        <f t="shared" si="0"/>
        <v>No</v>
      </c>
      <c r="O18" t="str">
        <f>_xlfn.XLOOKUP(Orders!C18,'Product Master'!$A$1:$A$23,'Product Master'!$C$1:$C$23)</f>
        <v>Books</v>
      </c>
      <c r="P18">
        <f t="shared" si="1"/>
        <v>3</v>
      </c>
      <c r="Q18" t="str">
        <f>_xlfn.XLOOKUP(B18,'Customer Master'!$A$1:$A$50,'Customer Master'!$B$1:$B$50)</f>
        <v>Emily Johnson</v>
      </c>
      <c r="R18" t="str" cm="1">
        <f t="array" ref="R18">_xlfn.IFS(P18="NA","NA",P18&lt;=2,"FAST",P18&gt;2,"SLOW")</f>
        <v>SLOW</v>
      </c>
      <c r="S18" t="str">
        <f>_xlfn.XLOOKUP(Orders!C18,'Product Master'!$A$1:$A$23,'Product Master'!$B$1:$B$23)</f>
        <v>Novel</v>
      </c>
    </row>
    <row r="19" spans="1:19" x14ac:dyDescent="0.3">
      <c r="A19" s="1" t="s">
        <v>84</v>
      </c>
      <c r="B19" s="1" t="s">
        <v>85</v>
      </c>
      <c r="C19" s="1" t="s">
        <v>42</v>
      </c>
      <c r="D19" s="1" t="s">
        <v>33</v>
      </c>
      <c r="E19" s="1">
        <v>70</v>
      </c>
      <c r="F19" s="1">
        <v>5</v>
      </c>
      <c r="G19" s="1">
        <v>350</v>
      </c>
      <c r="H19" s="1" t="s">
        <v>24</v>
      </c>
      <c r="I19" s="1" t="s">
        <v>22</v>
      </c>
      <c r="J19" s="1" t="s">
        <v>27</v>
      </c>
      <c r="K19" s="2">
        <v>45258</v>
      </c>
      <c r="L19" s="2"/>
      <c r="M19" s="2"/>
      <c r="N19" t="str">
        <f t="shared" si="0"/>
        <v>No</v>
      </c>
      <c r="O19" t="str">
        <f>_xlfn.XLOOKUP(Orders!C19,'Product Master'!$A$1:$A$23,'Product Master'!$C$1:$C$23)</f>
        <v>Books</v>
      </c>
      <c r="P19" t="str">
        <f t="shared" si="1"/>
        <v>NA</v>
      </c>
      <c r="Q19" t="str">
        <f>_xlfn.XLOOKUP(B19,'Customer Master'!$A$1:$A$50,'Customer Master'!$B$1:$B$50)</f>
        <v>Mason Hall</v>
      </c>
      <c r="R19" t="str" cm="1">
        <f t="array" ref="R19">_xlfn.IFS(P19="NA","NA",P19&lt;=2,"FAST",P19&gt;2,"SLOW")</f>
        <v>NA</v>
      </c>
      <c r="S19" t="str">
        <f>_xlfn.XLOOKUP(Orders!C19,'Product Master'!$A$1:$A$23,'Product Master'!$B$1:$B$23)</f>
        <v>Textbook</v>
      </c>
    </row>
    <row r="20" spans="1:19" x14ac:dyDescent="0.3">
      <c r="A20" s="1" t="s">
        <v>86</v>
      </c>
      <c r="B20" s="1" t="s">
        <v>87</v>
      </c>
      <c r="C20" s="1" t="s">
        <v>38</v>
      </c>
      <c r="D20" s="1" t="s">
        <v>21</v>
      </c>
      <c r="E20" s="1">
        <v>94</v>
      </c>
      <c r="F20" s="1">
        <v>4</v>
      </c>
      <c r="G20" s="1">
        <v>376</v>
      </c>
      <c r="H20" s="1" t="s">
        <v>18</v>
      </c>
      <c r="I20" s="1" t="s">
        <v>22</v>
      </c>
      <c r="J20" s="1" t="s">
        <v>23</v>
      </c>
      <c r="K20" s="2">
        <v>45163</v>
      </c>
      <c r="L20" s="2"/>
      <c r="M20" s="2"/>
      <c r="N20" t="str">
        <f t="shared" si="0"/>
        <v>No</v>
      </c>
      <c r="O20" t="str">
        <f>_xlfn.XLOOKUP(Orders!C20,'Product Master'!$A$1:$A$23,'Product Master'!$C$1:$C$23)</f>
        <v>Fashion</v>
      </c>
      <c r="P20" t="str">
        <f t="shared" si="1"/>
        <v>NA</v>
      </c>
      <c r="Q20" t="str">
        <f>_xlfn.XLOOKUP(B20,'Customer Master'!$A$1:$A$50,'Customer Master'!$B$1:$B$50)</f>
        <v>Jacob Price</v>
      </c>
      <c r="R20" t="str" cm="1">
        <f t="array" ref="R20">_xlfn.IFS(P20="NA","NA",P20&lt;=2,"FAST",P20&gt;2,"SLOW")</f>
        <v>NA</v>
      </c>
      <c r="S20" t="str">
        <f>_xlfn.XLOOKUP(Orders!C20,'Product Master'!$A$1:$A$23,'Product Master'!$B$1:$B$23)</f>
        <v>Shoes</v>
      </c>
    </row>
    <row r="21" spans="1:19" x14ac:dyDescent="0.3">
      <c r="A21" s="1" t="s">
        <v>88</v>
      </c>
      <c r="B21" s="1" t="s">
        <v>89</v>
      </c>
      <c r="C21" s="1" t="s">
        <v>43</v>
      </c>
      <c r="D21" s="26" t="s">
        <v>12</v>
      </c>
      <c r="E21" s="1">
        <v>813</v>
      </c>
      <c r="F21" s="1">
        <v>2</v>
      </c>
      <c r="G21" s="1">
        <v>1626</v>
      </c>
      <c r="H21" s="1" t="s">
        <v>18</v>
      </c>
      <c r="I21" s="1" t="s">
        <v>22</v>
      </c>
      <c r="J21" s="1" t="s">
        <v>37</v>
      </c>
      <c r="K21" s="2">
        <v>45028</v>
      </c>
      <c r="L21" s="2"/>
      <c r="M21" s="2"/>
      <c r="N21" t="str">
        <f t="shared" si="0"/>
        <v>No</v>
      </c>
      <c r="O21" t="str">
        <f>_xlfn.XLOOKUP(Orders!C21,'Product Master'!$A$1:$A$23,'Product Master'!$C$1:$C$23)</f>
        <v>Electronics</v>
      </c>
      <c r="P21" t="str">
        <f t="shared" si="1"/>
        <v>NA</v>
      </c>
      <c r="Q21" t="str">
        <f>_xlfn.XLOOKUP(B21,'Customer Master'!$A$1:$A$50,'Customer Master'!$B$1:$B$50)</f>
        <v>Emma King</v>
      </c>
      <c r="R21" t="str" cm="1">
        <f t="array" ref="R21">_xlfn.IFS(P21="NA","NA",P21&lt;=2,"FAST",P21&gt;2,"SLOW")</f>
        <v>NA</v>
      </c>
      <c r="S21" t="str">
        <f>_xlfn.XLOOKUP(Orders!C21,'Product Master'!$A$1:$A$23,'Product Master'!$B$1:$B$23)</f>
        <v>Smartphone</v>
      </c>
    </row>
    <row r="22" spans="1:19" x14ac:dyDescent="0.3">
      <c r="A22" s="1" t="s">
        <v>90</v>
      </c>
      <c r="B22" s="1" t="s">
        <v>70</v>
      </c>
      <c r="C22" s="1" t="s">
        <v>41</v>
      </c>
      <c r="D22" s="1" t="s">
        <v>30</v>
      </c>
      <c r="E22" s="1">
        <v>21</v>
      </c>
      <c r="F22" s="1">
        <v>4</v>
      </c>
      <c r="G22" s="1">
        <v>84</v>
      </c>
      <c r="H22" s="1" t="s">
        <v>24</v>
      </c>
      <c r="I22" s="1" t="s">
        <v>22</v>
      </c>
      <c r="J22" s="1" t="s">
        <v>27</v>
      </c>
      <c r="K22" s="2">
        <v>45201</v>
      </c>
      <c r="L22" s="2"/>
      <c r="M22" s="2"/>
      <c r="N22" t="str">
        <f t="shared" si="0"/>
        <v>No</v>
      </c>
      <c r="O22" t="str">
        <f>_xlfn.XLOOKUP(Orders!C22,'Product Master'!$A$1:$A$23,'Product Master'!$C$1:$C$23)</f>
        <v>Books</v>
      </c>
      <c r="P22" t="str">
        <f t="shared" si="1"/>
        <v>NA</v>
      </c>
      <c r="Q22" t="str">
        <f>_xlfn.XLOOKUP(B22,'Customer Master'!$A$1:$A$50,'Customer Master'!$B$1:$B$50)</f>
        <v>Olivia Martinez</v>
      </c>
      <c r="R22" t="str" cm="1">
        <f t="array" ref="R22">_xlfn.IFS(P22="NA","NA",P22&lt;=2,"FAST",P22&gt;2,"SLOW")</f>
        <v>NA</v>
      </c>
      <c r="S22" t="str">
        <f>_xlfn.XLOOKUP(Orders!C22,'Product Master'!$A$1:$A$23,'Product Master'!$B$1:$B$23)</f>
        <v>Novel</v>
      </c>
    </row>
    <row r="23" spans="1:19" x14ac:dyDescent="0.3">
      <c r="A23" s="1" t="s">
        <v>91</v>
      </c>
      <c r="B23" s="1" t="s">
        <v>77</v>
      </c>
      <c r="C23" s="1" t="s">
        <v>11</v>
      </c>
      <c r="D23" s="1" t="s">
        <v>33</v>
      </c>
      <c r="E23" s="1">
        <v>46</v>
      </c>
      <c r="F23" s="1">
        <v>5</v>
      </c>
      <c r="G23" s="1">
        <v>230</v>
      </c>
      <c r="H23" s="1" t="s">
        <v>24</v>
      </c>
      <c r="I23" s="1" t="s">
        <v>22</v>
      </c>
      <c r="J23" s="1" t="s">
        <v>23</v>
      </c>
      <c r="K23" s="2">
        <v>45239</v>
      </c>
      <c r="L23" s="2"/>
      <c r="M23" s="2"/>
      <c r="N23" t="str">
        <f t="shared" si="0"/>
        <v>No</v>
      </c>
      <c r="O23" t="str">
        <f>_xlfn.XLOOKUP(Orders!C23,'Product Master'!$A$1:$A$23,'Product Master'!$C$1:$C$23)</f>
        <v>Home</v>
      </c>
      <c r="P23" t="str">
        <f t="shared" si="1"/>
        <v>NA</v>
      </c>
      <c r="Q23" t="str">
        <f>_xlfn.XLOOKUP(B23,'Customer Master'!$A$1:$A$50,'Customer Master'!$B$1:$B$50)</f>
        <v>Charlotte Reed</v>
      </c>
      <c r="R23" t="str" cm="1">
        <f t="array" ref="R23">_xlfn.IFS(P23="NA","NA",P23&lt;=2,"FAST",P23&gt;2,"SLOW")</f>
        <v>NA</v>
      </c>
      <c r="S23" t="str">
        <f>_xlfn.XLOOKUP(Orders!C23,'Product Master'!$A$1:$A$23,'Product Master'!$B$1:$B$23)</f>
        <v>Lamp</v>
      </c>
    </row>
    <row r="24" spans="1:19" x14ac:dyDescent="0.3">
      <c r="A24" s="1" t="s">
        <v>92</v>
      </c>
      <c r="B24" s="1" t="s">
        <v>93</v>
      </c>
      <c r="C24" s="1" t="s">
        <v>26</v>
      </c>
      <c r="D24" s="1" t="s">
        <v>33</v>
      </c>
      <c r="E24" s="1">
        <v>58</v>
      </c>
      <c r="F24" s="1">
        <v>3</v>
      </c>
      <c r="G24" s="1">
        <v>174</v>
      </c>
      <c r="H24" s="1" t="s">
        <v>28</v>
      </c>
      <c r="I24" s="1" t="s">
        <v>14</v>
      </c>
      <c r="J24" s="1" t="s">
        <v>27</v>
      </c>
      <c r="K24" s="2">
        <v>44970</v>
      </c>
      <c r="L24" s="2"/>
      <c r="M24" s="2">
        <v>44971</v>
      </c>
      <c r="N24" t="str">
        <f t="shared" si="0"/>
        <v>Yes</v>
      </c>
      <c r="O24" t="str">
        <f>_xlfn.XLOOKUP(Orders!C24,'Product Master'!$A$1:$A$23,'Product Master'!$C$1:$C$23)</f>
        <v>Fashion</v>
      </c>
      <c r="P24" t="str">
        <f t="shared" si="1"/>
        <v>NA</v>
      </c>
      <c r="Q24" t="str">
        <f>_xlfn.XLOOKUP(B24,'Customer Master'!$A$1:$A$50,'Customer Master'!$B$1:$B$50)</f>
        <v>Elijah Lewis</v>
      </c>
      <c r="R24" t="str" cm="1">
        <f t="array" ref="R24">_xlfn.IFS(P24="NA","NA",P24&lt;=2,"FAST",P24&gt;2,"SLOW")</f>
        <v>NA</v>
      </c>
      <c r="S24" t="str">
        <f>_xlfn.XLOOKUP(Orders!C24,'Product Master'!$A$1:$A$23,'Product Master'!$B$1:$B$23)</f>
        <v>Jeans</v>
      </c>
    </row>
    <row r="25" spans="1:19" x14ac:dyDescent="0.3">
      <c r="A25" s="1" t="s">
        <v>94</v>
      </c>
      <c r="B25" s="1" t="s">
        <v>95</v>
      </c>
      <c r="C25" s="1" t="s">
        <v>38</v>
      </c>
      <c r="D25" s="1" t="s">
        <v>33</v>
      </c>
      <c r="E25" s="1">
        <v>96</v>
      </c>
      <c r="F25" s="1">
        <v>5</v>
      </c>
      <c r="G25" s="1">
        <v>480</v>
      </c>
      <c r="H25" s="1" t="s">
        <v>28</v>
      </c>
      <c r="I25" s="1" t="s">
        <v>19</v>
      </c>
      <c r="J25" s="1" t="s">
        <v>27</v>
      </c>
      <c r="K25" s="2">
        <v>45232</v>
      </c>
      <c r="L25" s="2">
        <v>45235</v>
      </c>
      <c r="M25" s="2"/>
      <c r="N25" t="str">
        <f t="shared" si="0"/>
        <v>No</v>
      </c>
      <c r="O25" t="str">
        <f>_xlfn.XLOOKUP(Orders!C25,'Product Master'!$A$1:$A$23,'Product Master'!$C$1:$C$23)</f>
        <v>Fashion</v>
      </c>
      <c r="P25">
        <f t="shared" si="1"/>
        <v>3</v>
      </c>
      <c r="Q25" t="str">
        <f>_xlfn.XLOOKUP(B25,'Customer Master'!$A$1:$A$50,'Customer Master'!$B$1:$B$50)</f>
        <v>Lily Bennett</v>
      </c>
      <c r="R25" t="str" cm="1">
        <f t="array" ref="R25">_xlfn.IFS(P25="NA","NA",P25&lt;=2,"FAST",P25&gt;2,"SLOW")</f>
        <v>SLOW</v>
      </c>
      <c r="S25" t="str">
        <f>_xlfn.XLOOKUP(Orders!C25,'Product Master'!$A$1:$A$23,'Product Master'!$B$1:$B$23)</f>
        <v>Shoes</v>
      </c>
    </row>
    <row r="26" spans="1:19" x14ac:dyDescent="0.3">
      <c r="A26" s="1" t="s">
        <v>96</v>
      </c>
      <c r="B26" s="1" t="s">
        <v>97</v>
      </c>
      <c r="C26" s="1" t="s">
        <v>44</v>
      </c>
      <c r="D26" s="1" t="s">
        <v>21</v>
      </c>
      <c r="E26" s="1">
        <v>43</v>
      </c>
      <c r="F26" s="1">
        <v>1</v>
      </c>
      <c r="G26" s="1">
        <v>43</v>
      </c>
      <c r="H26" s="1" t="s">
        <v>31</v>
      </c>
      <c r="I26" s="1" t="s">
        <v>19</v>
      </c>
      <c r="J26" s="1" t="s">
        <v>27</v>
      </c>
      <c r="K26" s="2">
        <v>45074</v>
      </c>
      <c r="L26" s="2">
        <v>45076</v>
      </c>
      <c r="M26" s="2"/>
      <c r="N26" t="str">
        <f t="shared" si="0"/>
        <v>No</v>
      </c>
      <c r="O26" t="str">
        <f>_xlfn.XLOOKUP(Orders!C26,'Product Master'!$A$1:$A$23,'Product Master'!$C$1:$C$23)</f>
        <v>Toys</v>
      </c>
      <c r="P26">
        <f t="shared" si="1"/>
        <v>2</v>
      </c>
      <c r="Q26" t="str">
        <f>_xlfn.XLOOKUP(B26,'Customer Master'!$A$1:$A$50,'Customer Master'!$B$1:$B$50)</f>
        <v>Benjamin Clark</v>
      </c>
      <c r="R26" t="str" cm="1">
        <f t="array" ref="R26">_xlfn.IFS(P26="NA","NA",P26&lt;=2,"FAST",P26&gt;2,"SLOW")</f>
        <v>FAST</v>
      </c>
      <c r="S26" t="str">
        <f>_xlfn.XLOOKUP(Orders!C26,'Product Master'!$A$1:$A$23,'Product Master'!$B$1:$B$23)</f>
        <v>Action Figure</v>
      </c>
    </row>
    <row r="27" spans="1:19" x14ac:dyDescent="0.3">
      <c r="A27" s="1" t="s">
        <v>98</v>
      </c>
      <c r="B27" s="1" t="s">
        <v>62</v>
      </c>
      <c r="C27" s="1" t="s">
        <v>45</v>
      </c>
      <c r="D27" s="1" t="s">
        <v>21</v>
      </c>
      <c r="E27" s="1">
        <v>64</v>
      </c>
      <c r="F27" s="1">
        <v>4</v>
      </c>
      <c r="G27" s="1">
        <v>256</v>
      </c>
      <c r="H27" s="1" t="s">
        <v>31</v>
      </c>
      <c r="I27" s="1" t="s">
        <v>19</v>
      </c>
      <c r="J27" s="1" t="s">
        <v>23</v>
      </c>
      <c r="K27" s="2">
        <v>45214</v>
      </c>
      <c r="L27" s="2">
        <v>45220</v>
      </c>
      <c r="M27" s="2"/>
      <c r="N27" t="str">
        <f t="shared" si="0"/>
        <v>No</v>
      </c>
      <c r="O27" t="str">
        <f>_xlfn.XLOOKUP(Orders!C27,'Product Master'!$A$1:$A$23,'Product Master'!$C$1:$C$23)</f>
        <v>Fashion</v>
      </c>
      <c r="P27">
        <f t="shared" si="1"/>
        <v>6</v>
      </c>
      <c r="Q27" t="str">
        <f>_xlfn.XLOOKUP(B27,'Customer Master'!$A$1:$A$50,'Customer Master'!$B$1:$B$50)</f>
        <v>Hazel Brooks</v>
      </c>
      <c r="R27" t="str" cm="1">
        <f t="array" ref="R27">_xlfn.IFS(P27="NA","NA",P27&lt;=2,"FAST",P27&gt;2,"SLOW")</f>
        <v>SLOW</v>
      </c>
      <c r="S27" t="str">
        <f>_xlfn.XLOOKUP(Orders!C27,'Product Master'!$A$1:$A$23,'Product Master'!$B$1:$B$23)</f>
        <v>Backpack</v>
      </c>
    </row>
    <row r="28" spans="1:19" x14ac:dyDescent="0.3">
      <c r="A28" s="1" t="s">
        <v>99</v>
      </c>
      <c r="B28" s="1" t="s">
        <v>100</v>
      </c>
      <c r="C28" s="1" t="s">
        <v>42</v>
      </c>
      <c r="D28" s="1" t="s">
        <v>21</v>
      </c>
      <c r="E28" s="1">
        <v>70</v>
      </c>
      <c r="F28" s="1">
        <v>2</v>
      </c>
      <c r="G28" s="1">
        <v>140</v>
      </c>
      <c r="H28" s="1" t="s">
        <v>28</v>
      </c>
      <c r="I28" s="1" t="s">
        <v>22</v>
      </c>
      <c r="J28" s="1" t="s">
        <v>27</v>
      </c>
      <c r="K28" s="2">
        <v>44942</v>
      </c>
      <c r="L28" s="2"/>
      <c r="M28" s="2"/>
      <c r="N28" t="str">
        <f t="shared" si="0"/>
        <v>No</v>
      </c>
      <c r="O28" t="str">
        <f>_xlfn.XLOOKUP(Orders!C28,'Product Master'!$A$1:$A$23,'Product Master'!$C$1:$C$23)</f>
        <v>Books</v>
      </c>
      <c r="P28" t="str">
        <f t="shared" si="1"/>
        <v>NA</v>
      </c>
      <c r="Q28" t="str">
        <f>_xlfn.XLOOKUP(B28,'Customer Master'!$A$1:$A$50,'Customer Master'!$B$1:$B$50)</f>
        <v>Grace Scott</v>
      </c>
      <c r="R28" t="str" cm="1">
        <f t="array" ref="R28">_xlfn.IFS(P28="NA","NA",P28&lt;=2,"FAST",P28&gt;2,"SLOW")</f>
        <v>NA</v>
      </c>
      <c r="S28" t="str">
        <f>_xlfn.XLOOKUP(Orders!C28,'Product Master'!$A$1:$A$23,'Product Master'!$B$1:$B$23)</f>
        <v>Textbook</v>
      </c>
    </row>
    <row r="29" spans="1:19" x14ac:dyDescent="0.3">
      <c r="A29" s="1" t="s">
        <v>101</v>
      </c>
      <c r="B29" s="1" t="s">
        <v>100</v>
      </c>
      <c r="C29" s="1" t="s">
        <v>16</v>
      </c>
      <c r="D29" s="1" t="s">
        <v>30</v>
      </c>
      <c r="E29" s="1">
        <v>97</v>
      </c>
      <c r="F29" s="1">
        <v>3</v>
      </c>
      <c r="G29" s="1">
        <v>291</v>
      </c>
      <c r="H29" s="1" t="s">
        <v>18</v>
      </c>
      <c r="I29" s="1" t="s">
        <v>22</v>
      </c>
      <c r="J29" s="1" t="s">
        <v>27</v>
      </c>
      <c r="K29" s="2">
        <v>45208</v>
      </c>
      <c r="L29" s="2"/>
      <c r="M29" s="2"/>
      <c r="N29" t="str">
        <f t="shared" si="0"/>
        <v>No</v>
      </c>
      <c r="O29" t="str">
        <f>_xlfn.XLOOKUP(Orders!C29,'Product Master'!$A$1:$A$23,'Product Master'!$C$1:$C$23)</f>
        <v>Toys</v>
      </c>
      <c r="P29" t="str">
        <f t="shared" si="1"/>
        <v>NA</v>
      </c>
      <c r="Q29" t="str">
        <f>_xlfn.XLOOKUP(B29,'Customer Master'!$A$1:$A$50,'Customer Master'!$B$1:$B$50)</f>
        <v>Grace Scott</v>
      </c>
      <c r="R29" t="str" cm="1">
        <f t="array" ref="R29">_xlfn.IFS(P29="NA","NA",P29&lt;=2,"FAST",P29&gt;2,"SLOW")</f>
        <v>NA</v>
      </c>
      <c r="S29" t="str">
        <f>_xlfn.XLOOKUP(Orders!C29,'Product Master'!$A$1:$A$23,'Product Master'!$B$1:$B$23)</f>
        <v>Doll House</v>
      </c>
    </row>
    <row r="30" spans="1:19" x14ac:dyDescent="0.3">
      <c r="A30" s="1"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f>_xlfn.XLOOKUP(Orders!C30,'Product Master'!$A$1:$A$23,'Product Master'!$C$1:$C$23)</f>
        <v>Home</v>
      </c>
      <c r="P30" t="str">
        <f t="shared" si="1"/>
        <v>NA</v>
      </c>
      <c r="Q30" t="str">
        <f>_xlfn.XLOOKUP(B30,'Customer Master'!$A$1:$A$50,'Customer Master'!$B$1:$B$50)</f>
        <v>Liam Walker</v>
      </c>
      <c r="R30" t="str" cm="1">
        <f t="array" ref="R30">_xlfn.IFS(P30="NA","NA",P30&lt;=2,"FAST",P30&gt;2,"SLOW")</f>
        <v>NA</v>
      </c>
      <c r="S30" t="str">
        <f>_xlfn.XLOOKUP(Orders!C30,'Product Master'!$A$1:$A$23,'Product Master'!$B$1:$B$23)</f>
        <v>Wall Clock</v>
      </c>
    </row>
    <row r="31" spans="1:19" x14ac:dyDescent="0.3">
      <c r="A31" s="1" t="s">
        <v>104</v>
      </c>
      <c r="B31" s="1" t="s">
        <v>105</v>
      </c>
      <c r="C31" s="1" t="s">
        <v>42</v>
      </c>
      <c r="D31" s="1" t="s">
        <v>12</v>
      </c>
      <c r="E31" s="1">
        <v>69</v>
      </c>
      <c r="F31" s="1">
        <v>5</v>
      </c>
      <c r="G31" s="1">
        <v>345</v>
      </c>
      <c r="H31" s="1" t="s">
        <v>28</v>
      </c>
      <c r="I31" s="1" t="s">
        <v>22</v>
      </c>
      <c r="J31" s="1" t="s">
        <v>27</v>
      </c>
      <c r="K31" s="2">
        <v>44971</v>
      </c>
      <c r="L31" s="2"/>
      <c r="M31" s="2"/>
      <c r="N31" t="str">
        <f t="shared" si="0"/>
        <v>No</v>
      </c>
      <c r="O31" t="str">
        <f>_xlfn.XLOOKUP(Orders!C31,'Product Master'!$A$1:$A$23,'Product Master'!$C$1:$C$23)</f>
        <v>Books</v>
      </c>
      <c r="P31" t="str">
        <f t="shared" si="1"/>
        <v>NA</v>
      </c>
      <c r="Q31" t="str">
        <f>_xlfn.XLOOKUP(B31,'Customer Master'!$A$1:$A$50,'Customer Master'!$B$1:$B$50)</f>
        <v>Harper Young</v>
      </c>
      <c r="R31" t="str" cm="1">
        <f t="array" ref="R31">_xlfn.IFS(P31="NA","NA",P31&lt;=2,"FAST",P31&gt;2,"SLOW")</f>
        <v>NA</v>
      </c>
      <c r="S31" t="str">
        <f>_xlfn.XLOOKUP(Orders!C31,'Product Master'!$A$1:$A$23,'Product Master'!$B$1:$B$23)</f>
        <v>Textbook</v>
      </c>
    </row>
    <row r="32" spans="1:19" x14ac:dyDescent="0.3">
      <c r="A32" s="1" t="s">
        <v>106</v>
      </c>
      <c r="B32" s="1" t="s">
        <v>107</v>
      </c>
      <c r="C32" s="1" t="s">
        <v>44</v>
      </c>
      <c r="D32" s="1" t="s">
        <v>12</v>
      </c>
      <c r="E32" s="1">
        <v>42</v>
      </c>
      <c r="F32" s="1">
        <v>5</v>
      </c>
      <c r="G32" s="1">
        <v>210</v>
      </c>
      <c r="H32" s="1" t="s">
        <v>28</v>
      </c>
      <c r="I32" s="1" t="s">
        <v>22</v>
      </c>
      <c r="J32" s="1" t="s">
        <v>25</v>
      </c>
      <c r="K32" s="2">
        <v>45011</v>
      </c>
      <c r="L32" s="2"/>
      <c r="M32" s="2"/>
      <c r="N32" t="str">
        <f t="shared" si="0"/>
        <v>No</v>
      </c>
      <c r="O32" t="str">
        <f>_xlfn.XLOOKUP(Orders!C32,'Product Master'!$A$1:$A$23,'Product Master'!$C$1:$C$23)</f>
        <v>Toys</v>
      </c>
      <c r="P32" t="str">
        <f t="shared" si="1"/>
        <v>NA</v>
      </c>
      <c r="Q32" t="str">
        <f>_xlfn.XLOOKUP(B32,'Customer Master'!$A$1:$A$50,'Customer Master'!$B$1:$B$50)</f>
        <v>Harper Young</v>
      </c>
      <c r="R32" t="str" cm="1">
        <f t="array" ref="R32">_xlfn.IFS(P32="NA","NA",P32&lt;=2,"FAST",P32&gt;2,"SLOW")</f>
        <v>NA</v>
      </c>
      <c r="S32" t="str">
        <f>_xlfn.XLOOKUP(Orders!C32,'Product Master'!$A$1:$A$23,'Product Master'!$B$1:$B$23)</f>
        <v>Action Figure</v>
      </c>
    </row>
    <row r="33" spans="1:19" x14ac:dyDescent="0.3">
      <c r="A33" s="1" t="s">
        <v>108</v>
      </c>
      <c r="B33" s="1" t="s">
        <v>109</v>
      </c>
      <c r="C33" s="1" t="s">
        <v>46</v>
      </c>
      <c r="D33" s="1" t="s">
        <v>17</v>
      </c>
      <c r="E33" s="1">
        <v>11</v>
      </c>
      <c r="F33" s="1">
        <v>5</v>
      </c>
      <c r="G33" s="1">
        <v>55</v>
      </c>
      <c r="H33" s="1" t="s">
        <v>31</v>
      </c>
      <c r="I33" s="1" t="s">
        <v>14</v>
      </c>
      <c r="J33" s="1" t="s">
        <v>37</v>
      </c>
      <c r="K33" s="2">
        <v>45092</v>
      </c>
      <c r="L33" s="2"/>
      <c r="M33" s="2">
        <v>45099</v>
      </c>
      <c r="N33" t="str">
        <f t="shared" si="0"/>
        <v>Yes</v>
      </c>
      <c r="O33" t="str">
        <f>_xlfn.XLOOKUP(Orders!C33,'Product Master'!$A$1:$A$23,'Product Master'!$C$1:$C$23)</f>
        <v>Books</v>
      </c>
      <c r="P33" t="str">
        <f t="shared" si="1"/>
        <v>NA</v>
      </c>
      <c r="Q33" t="str">
        <f>_xlfn.XLOOKUP(B33,'Customer Master'!$A$1:$A$50,'Customer Master'!$B$1:$B$50)</f>
        <v>Emily Johnson</v>
      </c>
      <c r="R33" t="str" cm="1">
        <f t="array" ref="R33">_xlfn.IFS(P33="NA","NA",P33&lt;=2,"FAST",P33&gt;2,"SLOW")</f>
        <v>NA</v>
      </c>
      <c r="S33" t="str">
        <f>_xlfn.XLOOKUP(Orders!C33,'Product Master'!$A$1:$A$23,'Product Master'!$B$1:$B$23)</f>
        <v>Magazine</v>
      </c>
    </row>
    <row r="34" spans="1:19" x14ac:dyDescent="0.3">
      <c r="A34" s="1" t="s">
        <v>110</v>
      </c>
      <c r="B34" s="1" t="s">
        <v>93</v>
      </c>
      <c r="C34" s="1" t="s">
        <v>40</v>
      </c>
      <c r="D34" s="1" t="s">
        <v>21</v>
      </c>
      <c r="E34" s="1">
        <v>27</v>
      </c>
      <c r="F34" s="1">
        <v>2</v>
      </c>
      <c r="G34" s="1">
        <v>54</v>
      </c>
      <c r="H34" s="1" t="s">
        <v>13</v>
      </c>
      <c r="I34" s="1" t="s">
        <v>19</v>
      </c>
      <c r="J34" s="1" t="s">
        <v>23</v>
      </c>
      <c r="K34" s="2">
        <v>45068</v>
      </c>
      <c r="L34" s="2">
        <v>45069</v>
      </c>
      <c r="M34" s="2"/>
      <c r="N34" t="str">
        <f t="shared" si="0"/>
        <v>No</v>
      </c>
      <c r="O34" t="str">
        <f>_xlfn.XLOOKUP(Orders!C34,'Product Master'!$A$1:$A$23,'Product Master'!$C$1:$C$23)</f>
        <v>Fashion</v>
      </c>
      <c r="P34">
        <f t="shared" si="1"/>
        <v>1</v>
      </c>
      <c r="Q34" t="str">
        <f>_xlfn.XLOOKUP(B34,'Customer Master'!$A$1:$A$50,'Customer Master'!$B$1:$B$50)</f>
        <v>Elijah Lewis</v>
      </c>
      <c r="R34" t="str" cm="1">
        <f t="array" ref="R34">_xlfn.IFS(P34="NA","NA",P34&lt;=2,"FAST",P34&gt;2,"SLOW")</f>
        <v>FAST</v>
      </c>
      <c r="S34" t="str">
        <f>_xlfn.XLOOKUP(Orders!C34,'Product Master'!$A$1:$A$23,'Product Master'!$B$1:$B$23)</f>
        <v>T-Shirt</v>
      </c>
    </row>
    <row r="35" spans="1:19" x14ac:dyDescent="0.3">
      <c r="A35" s="1" t="s">
        <v>111</v>
      </c>
      <c r="B35" s="1" t="s">
        <v>89</v>
      </c>
      <c r="C35" s="1" t="s">
        <v>41</v>
      </c>
      <c r="D35" s="1" t="s">
        <v>21</v>
      </c>
      <c r="E35" s="1">
        <v>21</v>
      </c>
      <c r="F35" s="1">
        <v>1</v>
      </c>
      <c r="G35" s="1">
        <v>21</v>
      </c>
      <c r="H35" s="1" t="s">
        <v>28</v>
      </c>
      <c r="I35" s="1" t="s">
        <v>22</v>
      </c>
      <c r="J35" s="1" t="s">
        <v>15</v>
      </c>
      <c r="K35" s="2">
        <v>45250</v>
      </c>
      <c r="L35" s="2"/>
      <c r="M35" s="2"/>
      <c r="N35" t="str">
        <f t="shared" si="0"/>
        <v>No</v>
      </c>
      <c r="O35" t="str">
        <f>_xlfn.XLOOKUP(Orders!C35,'Product Master'!$A$1:$A$23,'Product Master'!$C$1:$C$23)</f>
        <v>Books</v>
      </c>
      <c r="P35" t="str">
        <f t="shared" si="1"/>
        <v>NA</v>
      </c>
      <c r="Q35" t="str">
        <f>_xlfn.XLOOKUP(B35,'Customer Master'!$A$1:$A$50,'Customer Master'!$B$1:$B$50)</f>
        <v>Emma King</v>
      </c>
      <c r="R35" t="str" cm="1">
        <f t="array" ref="R35">_xlfn.IFS(P35="NA","NA",P35&lt;=2,"FAST",P35&gt;2,"SLOW")</f>
        <v>NA</v>
      </c>
      <c r="S35" t="str">
        <f>_xlfn.XLOOKUP(Orders!C35,'Product Master'!$A$1:$A$23,'Product Master'!$B$1:$B$23)</f>
        <v>Novel</v>
      </c>
    </row>
    <row r="36" spans="1:19" x14ac:dyDescent="0.3">
      <c r="A36" s="1" t="s">
        <v>112</v>
      </c>
      <c r="B36" s="1" t="s">
        <v>113</v>
      </c>
      <c r="C36" s="1" t="s">
        <v>47</v>
      </c>
      <c r="D36" s="1" t="s">
        <v>21</v>
      </c>
      <c r="E36" s="1">
        <v>172</v>
      </c>
      <c r="F36" s="1">
        <v>1</v>
      </c>
      <c r="G36" s="1">
        <v>172</v>
      </c>
      <c r="H36" s="1" t="s">
        <v>24</v>
      </c>
      <c r="I36" s="1" t="s">
        <v>19</v>
      </c>
      <c r="J36" s="1" t="s">
        <v>23</v>
      </c>
      <c r="K36" s="2">
        <v>45282</v>
      </c>
      <c r="L36" s="2">
        <v>45286</v>
      </c>
      <c r="M36" s="2"/>
      <c r="N36" t="str">
        <f t="shared" si="0"/>
        <v>No</v>
      </c>
      <c r="O36" t="str">
        <f>_xlfn.XLOOKUP(Orders!C36,'Product Master'!$A$1:$A$23,'Product Master'!$C$1:$C$23)</f>
        <v>Electronics</v>
      </c>
      <c r="P36">
        <f t="shared" si="1"/>
        <v>4</v>
      </c>
      <c r="Q36" t="str">
        <f>_xlfn.XLOOKUP(B36,'Customer Master'!$A$1:$A$50,'Customer Master'!$B$1:$B$50)</f>
        <v>Luke Gray</v>
      </c>
      <c r="R36" t="str" cm="1">
        <f t="array" ref="R36">_xlfn.IFS(P36="NA","NA",P36&lt;=2,"FAST",P36&gt;2,"SLOW")</f>
        <v>SLOW</v>
      </c>
      <c r="S36" t="str">
        <f>_xlfn.XLOOKUP(Orders!C36,'Product Master'!$A$1:$A$23,'Product Master'!$B$1:$B$23)</f>
        <v>Headphones</v>
      </c>
    </row>
    <row r="37" spans="1:19" x14ac:dyDescent="0.3">
      <c r="A37" s="1" t="s">
        <v>114</v>
      </c>
      <c r="B37" s="1" t="s">
        <v>107</v>
      </c>
      <c r="C37" s="1" t="s">
        <v>48</v>
      </c>
      <c r="D37" s="1" t="s">
        <v>12</v>
      </c>
      <c r="E37" s="1">
        <v>212</v>
      </c>
      <c r="F37" s="1">
        <v>3</v>
      </c>
      <c r="G37" s="1">
        <v>636</v>
      </c>
      <c r="H37" s="1" t="s">
        <v>28</v>
      </c>
      <c r="I37" s="1" t="s">
        <v>22</v>
      </c>
      <c r="J37" s="1" t="s">
        <v>25</v>
      </c>
      <c r="K37" s="2">
        <v>45130</v>
      </c>
      <c r="L37" s="2"/>
      <c r="M37" s="2"/>
      <c r="N37" t="str">
        <f t="shared" si="0"/>
        <v>No</v>
      </c>
      <c r="O37" t="str">
        <f>_xlfn.XLOOKUP(Orders!C37,'Product Master'!$A$1:$A$23,'Product Master'!$C$1:$C$23)</f>
        <v>Home</v>
      </c>
      <c r="P37" t="str">
        <f t="shared" si="1"/>
        <v>NA</v>
      </c>
      <c r="Q37" t="str">
        <f>_xlfn.XLOOKUP(B37,'Customer Master'!$A$1:$A$50,'Customer Master'!$B$1:$B$50)</f>
        <v>Harper Young</v>
      </c>
      <c r="R37" t="str" cm="1">
        <f t="array" ref="R37">_xlfn.IFS(P37="NA","NA",P37&lt;=2,"FAST",P37&gt;2,"SLOW")</f>
        <v>NA</v>
      </c>
      <c r="S37" t="str">
        <f>_xlfn.XLOOKUP(Orders!C37,'Product Master'!$A$1:$A$23,'Product Master'!$B$1:$B$23)</f>
        <v>Cookware Set Pro</v>
      </c>
    </row>
    <row r="38" spans="1:19" x14ac:dyDescent="0.3">
      <c r="A38" s="1" t="s">
        <v>115</v>
      </c>
      <c r="B38" s="1" t="s">
        <v>60</v>
      </c>
      <c r="C38" s="1" t="s">
        <v>44</v>
      </c>
      <c r="D38" s="1" t="s">
        <v>17</v>
      </c>
      <c r="E38" s="1">
        <v>41</v>
      </c>
      <c r="F38" s="1">
        <v>4</v>
      </c>
      <c r="G38" s="1">
        <v>164</v>
      </c>
      <c r="H38" s="1" t="s">
        <v>18</v>
      </c>
      <c r="I38" s="1" t="s">
        <v>19</v>
      </c>
      <c r="J38" s="1" t="s">
        <v>27</v>
      </c>
      <c r="K38" s="2">
        <v>45216</v>
      </c>
      <c r="L38" s="2">
        <v>45221</v>
      </c>
      <c r="M38" s="2"/>
      <c r="N38" t="str">
        <f t="shared" si="0"/>
        <v>No</v>
      </c>
      <c r="O38" t="str">
        <f>_xlfn.XLOOKUP(Orders!C38,'Product Master'!$A$1:$A$23,'Product Master'!$C$1:$C$23)</f>
        <v>Toys</v>
      </c>
      <c r="P38">
        <f t="shared" si="1"/>
        <v>5</v>
      </c>
      <c r="Q38" t="str">
        <f>_xlfn.XLOOKUP(B38,'Customer Master'!$A$1:$A$50,'Customer Master'!$B$1:$B$50)</f>
        <v>Grace Ward</v>
      </c>
      <c r="R38" t="str" cm="1">
        <f t="array" ref="R38">_xlfn.IFS(P38="NA","NA",P38&lt;=2,"FAST",P38&gt;2,"SLOW")</f>
        <v>SLOW</v>
      </c>
      <c r="S38" t="str">
        <f>_xlfn.XLOOKUP(Orders!C38,'Product Master'!$A$1:$A$23,'Product Master'!$B$1:$B$23)</f>
        <v>Action Figure</v>
      </c>
    </row>
    <row r="39" spans="1:19" x14ac:dyDescent="0.3">
      <c r="A39" s="1" t="s">
        <v>116</v>
      </c>
      <c r="B39" s="1" t="s">
        <v>95</v>
      </c>
      <c r="C39" s="1" t="s">
        <v>49</v>
      </c>
      <c r="D39" s="1" t="s">
        <v>12</v>
      </c>
      <c r="E39" s="1">
        <v>32</v>
      </c>
      <c r="F39" s="1">
        <v>2</v>
      </c>
      <c r="G39" s="1">
        <v>64</v>
      </c>
      <c r="H39" s="1" t="s">
        <v>31</v>
      </c>
      <c r="I39" s="1" t="s">
        <v>14</v>
      </c>
      <c r="J39" s="1" t="s">
        <v>37</v>
      </c>
      <c r="K39" s="2">
        <v>45160</v>
      </c>
      <c r="L39" s="2"/>
      <c r="M39" s="2">
        <v>45162</v>
      </c>
      <c r="N39" t="str">
        <f t="shared" si="0"/>
        <v>Yes</v>
      </c>
      <c r="O39" t="str">
        <f>_xlfn.XLOOKUP(Orders!C39,'Product Master'!$A$1:$A$23,'Product Master'!$C$1:$C$23)</f>
        <v>Toys</v>
      </c>
      <c r="P39" t="str">
        <f t="shared" si="1"/>
        <v>NA</v>
      </c>
      <c r="Q39" t="str">
        <f>_xlfn.XLOOKUP(B39,'Customer Master'!$A$1:$A$50,'Customer Master'!$B$1:$B$50)</f>
        <v>Lily Bennett</v>
      </c>
      <c r="R39" t="str" cm="1">
        <f t="array" ref="R39">_xlfn.IFS(P39="NA","NA",P39&lt;=2,"FAST",P39&gt;2,"SLOW")</f>
        <v>NA</v>
      </c>
      <c r="S39" t="str">
        <f>_xlfn.XLOOKUP(Orders!C39,'Product Master'!$A$1:$A$23,'Product Master'!$B$1:$B$23)</f>
        <v>Puzzle</v>
      </c>
    </row>
    <row r="40" spans="1:19" x14ac:dyDescent="0.3">
      <c r="A40" s="1" t="s">
        <v>117</v>
      </c>
      <c r="B40" s="1" t="s">
        <v>118</v>
      </c>
      <c r="C40" s="1" t="s">
        <v>45</v>
      </c>
      <c r="D40" s="1" t="s">
        <v>17</v>
      </c>
      <c r="E40" s="1">
        <v>66</v>
      </c>
      <c r="F40" s="1">
        <v>2</v>
      </c>
      <c r="G40" s="1">
        <v>132</v>
      </c>
      <c r="H40" s="1" t="s">
        <v>13</v>
      </c>
      <c r="I40" s="1" t="s">
        <v>22</v>
      </c>
      <c r="J40" s="1" t="s">
        <v>15</v>
      </c>
      <c r="K40" s="2">
        <v>45262</v>
      </c>
      <c r="L40" s="2"/>
      <c r="M40" s="2"/>
      <c r="N40" t="str">
        <f t="shared" si="0"/>
        <v>No</v>
      </c>
      <c r="O40" t="str">
        <f>_xlfn.XLOOKUP(Orders!C40,'Product Master'!$A$1:$A$23,'Product Master'!$C$1:$C$23)</f>
        <v>Fashion</v>
      </c>
      <c r="P40" t="str">
        <f t="shared" si="1"/>
        <v>NA</v>
      </c>
      <c r="Q40" t="str">
        <f>_xlfn.XLOOKUP(B40,'Customer Master'!$A$1:$A$50,'Customer Master'!$B$1:$B$50)</f>
        <v>Scarlett Murphy</v>
      </c>
      <c r="R40" t="str" cm="1">
        <f t="array" ref="R40">_xlfn.IFS(P40="NA","NA",P40&lt;=2,"FAST",P40&gt;2,"SLOW")</f>
        <v>NA</v>
      </c>
      <c r="S40" t="str">
        <f>_xlfn.XLOOKUP(Orders!C40,'Product Master'!$A$1:$A$23,'Product Master'!$B$1:$B$23)</f>
        <v>Backpack</v>
      </c>
    </row>
    <row r="41" spans="1:19" x14ac:dyDescent="0.3">
      <c r="A41" s="1" t="s">
        <v>119</v>
      </c>
      <c r="B41" s="1" t="s">
        <v>120</v>
      </c>
      <c r="C41" s="1" t="s">
        <v>50</v>
      </c>
      <c r="D41" s="1" t="s">
        <v>17</v>
      </c>
      <c r="E41" s="1">
        <v>62</v>
      </c>
      <c r="F41" s="1">
        <v>4</v>
      </c>
      <c r="G41" s="1">
        <v>248</v>
      </c>
      <c r="H41" s="1" t="s">
        <v>31</v>
      </c>
      <c r="I41" s="1" t="s">
        <v>22</v>
      </c>
      <c r="J41" s="1" t="s">
        <v>25</v>
      </c>
      <c r="K41" s="2">
        <v>45285</v>
      </c>
      <c r="L41" s="2"/>
      <c r="M41" s="2"/>
      <c r="N41" t="str">
        <f t="shared" si="0"/>
        <v>No</v>
      </c>
      <c r="O41" t="str">
        <f>_xlfn.XLOOKUP(Orders!C41,'Product Master'!$A$1:$A$23,'Product Master'!$C$1:$C$23)</f>
        <v>Toys</v>
      </c>
      <c r="P41" t="str">
        <f t="shared" si="1"/>
        <v>NA</v>
      </c>
      <c r="Q41" t="str">
        <f>_xlfn.XLOOKUP(B41,'Customer Master'!$A$1:$A$50,'Customer Master'!$B$1:$B$50)</f>
        <v>Ava Robinson</v>
      </c>
      <c r="R41" t="str" cm="1">
        <f t="array" ref="R41">_xlfn.IFS(P41="NA","NA",P41&lt;=2,"FAST",P41&gt;2,"SLOW")</f>
        <v>NA</v>
      </c>
      <c r="S41" t="str">
        <f>_xlfn.XLOOKUP(Orders!C41,'Product Master'!$A$1:$A$23,'Product Master'!$B$1:$B$23)</f>
        <v>Leg Set</v>
      </c>
    </row>
    <row r="42" spans="1:19" x14ac:dyDescent="0.3">
      <c r="A42" s="1" t="s">
        <v>121</v>
      </c>
      <c r="B42" s="1" t="s">
        <v>122</v>
      </c>
      <c r="C42" s="1" t="s">
        <v>47</v>
      </c>
      <c r="D42" s="1" t="s">
        <v>33</v>
      </c>
      <c r="E42" s="1">
        <v>173</v>
      </c>
      <c r="F42" s="1">
        <v>4</v>
      </c>
      <c r="G42" s="1">
        <v>692</v>
      </c>
      <c r="H42" s="1" t="s">
        <v>13</v>
      </c>
      <c r="I42" s="1" t="s">
        <v>19</v>
      </c>
      <c r="J42" s="1" t="s">
        <v>25</v>
      </c>
      <c r="K42" s="2">
        <v>45192</v>
      </c>
      <c r="L42" s="2">
        <v>45199</v>
      </c>
      <c r="M42" s="2"/>
      <c r="N42" t="str">
        <f t="shared" si="0"/>
        <v>No</v>
      </c>
      <c r="O42" t="str">
        <f>_xlfn.XLOOKUP(Orders!C42,'Product Master'!$A$1:$A$23,'Product Master'!$C$1:$C$23)</f>
        <v>Electronics</v>
      </c>
      <c r="P42">
        <f t="shared" si="1"/>
        <v>7</v>
      </c>
      <c r="Q42" t="str">
        <f>_xlfn.XLOOKUP(B42,'Customer Master'!$A$1:$A$50,'Customer Master'!$B$1:$B$50)</f>
        <v>James Miller</v>
      </c>
      <c r="R42" t="str" cm="1">
        <f t="array" ref="R42">_xlfn.IFS(P42="NA","NA",P42&lt;=2,"FAST",P42&gt;2,"SLOW")</f>
        <v>SLOW</v>
      </c>
      <c r="S42" t="str">
        <f>_xlfn.XLOOKUP(Orders!C42,'Product Master'!$A$1:$A$23,'Product Master'!$B$1:$B$23)</f>
        <v>Headphones</v>
      </c>
    </row>
    <row r="43" spans="1:19" x14ac:dyDescent="0.3">
      <c r="A43" s="1" t="s">
        <v>123</v>
      </c>
      <c r="B43" s="1" t="s">
        <v>103</v>
      </c>
      <c r="C43" s="1" t="s">
        <v>50</v>
      </c>
      <c r="D43" s="1" t="s">
        <v>33</v>
      </c>
      <c r="E43" s="1">
        <v>63</v>
      </c>
      <c r="F43" s="1">
        <v>3</v>
      </c>
      <c r="G43" s="1">
        <v>189</v>
      </c>
      <c r="H43" s="1" t="s">
        <v>13</v>
      </c>
      <c r="I43" s="1" t="s">
        <v>19</v>
      </c>
      <c r="J43" s="1" t="s">
        <v>25</v>
      </c>
      <c r="K43" s="2">
        <v>45123</v>
      </c>
      <c r="L43" s="2">
        <v>45125</v>
      </c>
      <c r="M43" s="2"/>
      <c r="N43" t="str">
        <f t="shared" si="0"/>
        <v>No</v>
      </c>
      <c r="O43" t="str">
        <f>_xlfn.XLOOKUP(Orders!C43,'Product Master'!$A$1:$A$23,'Product Master'!$C$1:$C$23)</f>
        <v>Toys</v>
      </c>
      <c r="P43">
        <f t="shared" si="1"/>
        <v>2</v>
      </c>
      <c r="Q43" t="str">
        <f>_xlfn.XLOOKUP(B43,'Customer Master'!$A$1:$A$50,'Customer Master'!$B$1:$B$50)</f>
        <v>Liam Walker</v>
      </c>
      <c r="R43" t="str" cm="1">
        <f t="array" ref="R43">_xlfn.IFS(P43="NA","NA",P43&lt;=2,"FAST",P43&gt;2,"SLOW")</f>
        <v>FAST</v>
      </c>
      <c r="S43" t="str">
        <f>_xlfn.XLOOKUP(Orders!C43,'Product Master'!$A$1:$A$23,'Product Master'!$B$1:$B$23)</f>
        <v>Leg Set</v>
      </c>
    </row>
    <row r="44" spans="1:19" x14ac:dyDescent="0.3">
      <c r="A44" s="1" t="s">
        <v>124</v>
      </c>
      <c r="B44" s="1" t="s">
        <v>97</v>
      </c>
      <c r="C44" s="1" t="s">
        <v>32</v>
      </c>
      <c r="D44" s="1" t="s">
        <v>33</v>
      </c>
      <c r="E44" s="1">
        <v>36</v>
      </c>
      <c r="F44" s="1">
        <v>3</v>
      </c>
      <c r="G44" s="1">
        <v>108</v>
      </c>
      <c r="H44" s="1" t="s">
        <v>31</v>
      </c>
      <c r="I44" s="1" t="s">
        <v>14</v>
      </c>
      <c r="J44" s="1" t="s">
        <v>23</v>
      </c>
      <c r="K44" s="2">
        <v>44962</v>
      </c>
      <c r="L44" s="2"/>
      <c r="M44" s="2">
        <v>44968</v>
      </c>
      <c r="N44" t="str">
        <f t="shared" si="0"/>
        <v>Yes</v>
      </c>
      <c r="O44" t="str">
        <f>_xlfn.XLOOKUP(Orders!C44,'Product Master'!$A$1:$A$23,'Product Master'!$C$1:$C$23)</f>
        <v>Home</v>
      </c>
      <c r="P44" t="str">
        <f t="shared" si="1"/>
        <v>NA</v>
      </c>
      <c r="Q44" t="str">
        <f>_xlfn.XLOOKUP(B44,'Customer Master'!$A$1:$A$50,'Customer Master'!$B$1:$B$50)</f>
        <v>Benjamin Clark</v>
      </c>
      <c r="R44" t="str" cm="1">
        <f t="array" ref="R44">_xlfn.IFS(P44="NA","NA",P44&lt;=2,"FAST",P44&gt;2,"SLOW")</f>
        <v>NA</v>
      </c>
      <c r="S44" t="str">
        <f>_xlfn.XLOOKUP(Orders!C44,'Product Master'!$A$1:$A$23,'Product Master'!$B$1:$B$23)</f>
        <v>Wall Clock</v>
      </c>
    </row>
    <row r="45" spans="1:19" x14ac:dyDescent="0.3">
      <c r="A45" s="1" t="s">
        <v>125</v>
      </c>
      <c r="B45" s="1" t="s">
        <v>120</v>
      </c>
      <c r="C45" s="1" t="s">
        <v>50</v>
      </c>
      <c r="D45" s="1" t="s">
        <v>30</v>
      </c>
      <c r="E45" s="1">
        <v>62</v>
      </c>
      <c r="F45" s="1">
        <v>1</v>
      </c>
      <c r="G45" s="1">
        <v>62</v>
      </c>
      <c r="H45" s="1" t="s">
        <v>13</v>
      </c>
      <c r="I45" s="1" t="s">
        <v>14</v>
      </c>
      <c r="J45" s="1" t="s">
        <v>27</v>
      </c>
      <c r="K45" s="2">
        <v>45278</v>
      </c>
      <c r="L45" s="2"/>
      <c r="M45" s="2">
        <v>45283</v>
      </c>
      <c r="N45" t="str">
        <f t="shared" si="0"/>
        <v>Yes</v>
      </c>
      <c r="O45" t="str">
        <f>_xlfn.XLOOKUP(Orders!C45,'Product Master'!$A$1:$A$23,'Product Master'!$C$1:$C$23)</f>
        <v>Toys</v>
      </c>
      <c r="P45" t="str">
        <f t="shared" si="1"/>
        <v>NA</v>
      </c>
      <c r="Q45" t="str">
        <f>_xlfn.XLOOKUP(B45,'Customer Master'!$A$1:$A$50,'Customer Master'!$B$1:$B$50)</f>
        <v>Ava Robinson</v>
      </c>
      <c r="R45" t="str" cm="1">
        <f t="array" ref="R45">_xlfn.IFS(P45="NA","NA",P45&lt;=2,"FAST",P45&gt;2,"SLOW")</f>
        <v>NA</v>
      </c>
      <c r="S45" t="str">
        <f>_xlfn.XLOOKUP(Orders!C45,'Product Master'!$A$1:$A$23,'Product Master'!$B$1:$B$23)</f>
        <v>Leg Set</v>
      </c>
    </row>
    <row r="46" spans="1:19" x14ac:dyDescent="0.3">
      <c r="A46" s="1" t="s">
        <v>126</v>
      </c>
      <c r="B46" s="1" t="s">
        <v>66</v>
      </c>
      <c r="C46" s="1" t="s">
        <v>35</v>
      </c>
      <c r="D46" s="1" t="s">
        <v>30</v>
      </c>
      <c r="E46" s="1">
        <v>137</v>
      </c>
      <c r="F46" s="1">
        <v>5</v>
      </c>
      <c r="G46" s="1">
        <v>685</v>
      </c>
      <c r="H46" s="1" t="s">
        <v>28</v>
      </c>
      <c r="I46" s="1" t="s">
        <v>14</v>
      </c>
      <c r="J46" s="1" t="s">
        <v>37</v>
      </c>
      <c r="K46" s="2">
        <v>45088</v>
      </c>
      <c r="L46" s="2"/>
      <c r="M46" s="2">
        <v>45091</v>
      </c>
      <c r="N46" t="str">
        <f t="shared" si="0"/>
        <v>Yes</v>
      </c>
      <c r="O46" t="str">
        <f>_xlfn.XLOOKUP(Orders!C46,'Product Master'!$A$1:$A$23,'Product Master'!$C$1:$C$23)</f>
        <v>Home</v>
      </c>
      <c r="P46" t="str">
        <f t="shared" si="1"/>
        <v>NA</v>
      </c>
      <c r="Q46" t="str">
        <f>_xlfn.XLOOKUP(B46,'Customer Master'!$A$1:$A$50,'Customer Master'!$B$1:$B$50)</f>
        <v>Noah Wilson</v>
      </c>
      <c r="R46" t="str" cm="1">
        <f t="array" ref="R46">_xlfn.IFS(P46="NA","NA",P46&lt;=2,"FAST",P46&gt;2,"SLOW")</f>
        <v>NA</v>
      </c>
      <c r="S46" t="str">
        <f>_xlfn.XLOOKUP(Orders!C46,'Product Master'!$A$1:$A$23,'Product Master'!$B$1:$B$23)</f>
        <v>Cookware Set</v>
      </c>
    </row>
    <row r="47" spans="1:19" x14ac:dyDescent="0.3">
      <c r="A47" s="1" t="s">
        <v>127</v>
      </c>
      <c r="B47" s="1" t="s">
        <v>128</v>
      </c>
      <c r="C47" s="1" t="s">
        <v>39</v>
      </c>
      <c r="D47" s="1" t="s">
        <v>12</v>
      </c>
      <c r="E47" s="1">
        <v>73</v>
      </c>
      <c r="F47" s="1">
        <v>4</v>
      </c>
      <c r="G47" s="1">
        <v>292</v>
      </c>
      <c r="H47" s="1" t="s">
        <v>18</v>
      </c>
      <c r="I47" s="1" t="s">
        <v>19</v>
      </c>
      <c r="J47" s="1" t="s">
        <v>27</v>
      </c>
      <c r="K47" s="2">
        <v>45264</v>
      </c>
      <c r="L47" s="2">
        <v>45268</v>
      </c>
      <c r="M47" s="2"/>
      <c r="N47" t="str">
        <f t="shared" si="0"/>
        <v>No</v>
      </c>
      <c r="O47" t="str">
        <f>_xlfn.XLOOKUP(Orders!C47,'Product Master'!$A$1:$A$23,'Product Master'!$C$1:$C$23)</f>
        <v>Electronics</v>
      </c>
      <c r="P47">
        <f t="shared" si="1"/>
        <v>4</v>
      </c>
      <c r="Q47" t="str">
        <f>_xlfn.XLOOKUP(B47,'Customer Master'!$A$1:$A$50,'Customer Master'!$B$1:$B$50)</f>
        <v>Logan Ramirez</v>
      </c>
      <c r="R47" t="str" cm="1">
        <f t="array" ref="R47">_xlfn.IFS(P47="NA","NA",P47&lt;=2,"FAST",P47&gt;2,"SLOW")</f>
        <v>SLOW</v>
      </c>
      <c r="S47" t="str">
        <f>_xlfn.XLOOKUP(Orders!C47,'Product Master'!$A$1:$A$23,'Product Master'!$B$1:$B$23)</f>
        <v>Gaming Mouse</v>
      </c>
    </row>
    <row r="48" spans="1:19" x14ac:dyDescent="0.3">
      <c r="A48" s="1" t="s">
        <v>129</v>
      </c>
      <c r="B48" s="1" t="s">
        <v>87</v>
      </c>
      <c r="C48" s="1" t="s">
        <v>29</v>
      </c>
      <c r="D48" s="1" t="s">
        <v>12</v>
      </c>
      <c r="E48" s="1">
        <v>104</v>
      </c>
      <c r="F48" s="1">
        <v>1</v>
      </c>
      <c r="G48" s="1">
        <v>104</v>
      </c>
      <c r="H48" s="1" t="s">
        <v>24</v>
      </c>
      <c r="I48" s="1" t="s">
        <v>19</v>
      </c>
      <c r="J48" s="1" t="s">
        <v>27</v>
      </c>
      <c r="K48" s="2">
        <v>45124</v>
      </c>
      <c r="L48" s="2">
        <v>45126</v>
      </c>
      <c r="M48" s="2"/>
      <c r="N48" t="str">
        <f t="shared" si="0"/>
        <v>No</v>
      </c>
      <c r="O48" t="str">
        <f>_xlfn.XLOOKUP(Orders!C48,'Product Master'!$A$1:$A$23,'Product Master'!$C$1:$C$23)</f>
        <v>Electronics</v>
      </c>
      <c r="P48">
        <f t="shared" si="1"/>
        <v>2</v>
      </c>
      <c r="Q48" t="str">
        <f>_xlfn.XLOOKUP(B48,'Customer Master'!$A$1:$A$50,'Customer Master'!$B$1:$B$50)</f>
        <v>Jacob Price</v>
      </c>
      <c r="R48" t="str" cm="1">
        <f t="array" ref="R48">_xlfn.IFS(P48="NA","NA",P48&lt;=2,"FAST",P48&gt;2,"SLOW")</f>
        <v>FAST</v>
      </c>
      <c r="S48" t="str">
        <f>_xlfn.XLOOKUP(Orders!C48,'Product Master'!$A$1:$A$23,'Product Master'!$B$1:$B$23)</f>
        <v>Bluetooth Speaker</v>
      </c>
    </row>
    <row r="49" spans="1:19" x14ac:dyDescent="0.3">
      <c r="A49" s="1" t="s">
        <v>130</v>
      </c>
      <c r="B49" s="1" t="s">
        <v>60</v>
      </c>
      <c r="C49" s="1" t="s">
        <v>38</v>
      </c>
      <c r="D49" s="1" t="s">
        <v>17</v>
      </c>
      <c r="E49" s="1">
        <v>97</v>
      </c>
      <c r="F49" s="1">
        <v>1</v>
      </c>
      <c r="G49" s="1">
        <v>97</v>
      </c>
      <c r="H49" s="1" t="s">
        <v>28</v>
      </c>
      <c r="I49" s="1" t="s">
        <v>19</v>
      </c>
      <c r="J49" s="1" t="s">
        <v>37</v>
      </c>
      <c r="K49" s="2">
        <v>45218</v>
      </c>
      <c r="L49" s="2">
        <v>45223</v>
      </c>
      <c r="M49" s="2"/>
      <c r="N49" t="str">
        <f t="shared" si="0"/>
        <v>No</v>
      </c>
      <c r="O49" t="str">
        <f>_xlfn.XLOOKUP(Orders!C49,'Product Master'!$A$1:$A$23,'Product Master'!$C$1:$C$23)</f>
        <v>Fashion</v>
      </c>
      <c r="P49">
        <f t="shared" si="1"/>
        <v>5</v>
      </c>
      <c r="Q49" t="str">
        <f>_xlfn.XLOOKUP(B49,'Customer Master'!$A$1:$A$50,'Customer Master'!$B$1:$B$50)</f>
        <v>Grace Ward</v>
      </c>
      <c r="R49" t="str" cm="1">
        <f t="array" ref="R49">_xlfn.IFS(P49="NA","NA",P49&lt;=2,"FAST",P49&gt;2,"SLOW")</f>
        <v>SLOW</v>
      </c>
      <c r="S49" t="str">
        <f>_xlfn.XLOOKUP(Orders!C49,'Product Master'!$A$1:$A$23,'Product Master'!$B$1:$B$23)</f>
        <v>Shoes</v>
      </c>
    </row>
    <row r="50" spans="1:19" x14ac:dyDescent="0.3">
      <c r="A50" s="1" t="s">
        <v>131</v>
      </c>
      <c r="B50" s="1" t="s">
        <v>132</v>
      </c>
      <c r="C50" s="1" t="s">
        <v>39</v>
      </c>
      <c r="D50" s="1" t="s">
        <v>21</v>
      </c>
      <c r="E50" s="1">
        <v>73</v>
      </c>
      <c r="F50" s="1">
        <v>5</v>
      </c>
      <c r="G50" s="1">
        <v>365</v>
      </c>
      <c r="H50" s="1" t="s">
        <v>13</v>
      </c>
      <c r="I50" s="1" t="s">
        <v>22</v>
      </c>
      <c r="J50" s="1" t="s">
        <v>27</v>
      </c>
      <c r="K50" s="2">
        <v>45061</v>
      </c>
      <c r="L50" s="2"/>
      <c r="M50" s="2"/>
      <c r="N50" t="str">
        <f t="shared" si="0"/>
        <v>No</v>
      </c>
      <c r="O50" t="str">
        <f>_xlfn.XLOOKUP(Orders!C50,'Product Master'!$A$1:$A$23,'Product Master'!$C$1:$C$23)</f>
        <v>Electronics</v>
      </c>
      <c r="P50" t="str">
        <f t="shared" si="1"/>
        <v>NA</v>
      </c>
      <c r="Q50" t="str">
        <f>_xlfn.XLOOKUP(B50,'Customer Master'!$A$1:$A$50,'Customer Master'!$B$1:$B$50)</f>
        <v>Zoe Mitchell</v>
      </c>
      <c r="R50" t="str" cm="1">
        <f t="array" ref="R50">_xlfn.IFS(P50="NA","NA",P50&lt;=2,"FAST",P50&gt;2,"SLOW")</f>
        <v>NA</v>
      </c>
      <c r="S50" t="str">
        <f>_xlfn.XLOOKUP(Orders!C50,'Product Master'!$A$1:$A$23,'Product Master'!$B$1:$B$23)</f>
        <v>Gaming Mouse</v>
      </c>
    </row>
    <row r="51" spans="1:19" x14ac:dyDescent="0.3">
      <c r="A51" s="1" t="s">
        <v>133</v>
      </c>
      <c r="B51" s="1" t="s">
        <v>97</v>
      </c>
      <c r="C51" s="1" t="s">
        <v>40</v>
      </c>
      <c r="D51" s="1" t="s">
        <v>17</v>
      </c>
      <c r="E51" s="1">
        <v>27</v>
      </c>
      <c r="F51" s="1">
        <v>3</v>
      </c>
      <c r="G51" s="1">
        <v>81</v>
      </c>
      <c r="H51" s="1" t="s">
        <v>28</v>
      </c>
      <c r="I51" s="1" t="s">
        <v>19</v>
      </c>
      <c r="J51" s="1" t="s">
        <v>25</v>
      </c>
      <c r="K51" s="2">
        <v>44969</v>
      </c>
      <c r="L51" s="2">
        <v>44976</v>
      </c>
      <c r="M51" s="2"/>
      <c r="N51" t="str">
        <f t="shared" si="0"/>
        <v>No</v>
      </c>
      <c r="O51" t="str">
        <f>_xlfn.XLOOKUP(Orders!C51,'Product Master'!$A$1:$A$23,'Product Master'!$C$1:$C$23)</f>
        <v>Fashion</v>
      </c>
      <c r="P51">
        <f t="shared" si="1"/>
        <v>7</v>
      </c>
      <c r="Q51" t="str">
        <f>_xlfn.XLOOKUP(B51,'Customer Master'!$A$1:$A$50,'Customer Master'!$B$1:$B$50)</f>
        <v>Benjamin Clark</v>
      </c>
      <c r="R51" t="str" cm="1">
        <f t="array" ref="R51">_xlfn.IFS(P51="NA","NA",P51&lt;=2,"FAST",P51&gt;2,"SLOW")</f>
        <v>SLOW</v>
      </c>
      <c r="S51" t="str">
        <f>_xlfn.XLOOKUP(Orders!C51,'Product Master'!$A$1:$A$23,'Product Master'!$B$1:$B$23)</f>
        <v>T-Shirt</v>
      </c>
    </row>
    <row r="52" spans="1:19" x14ac:dyDescent="0.3">
      <c r="A52" s="1" t="s">
        <v>134</v>
      </c>
      <c r="B52" s="1" t="s">
        <v>87</v>
      </c>
      <c r="C52" s="1" t="s">
        <v>32</v>
      </c>
      <c r="D52" s="1" t="s">
        <v>12</v>
      </c>
      <c r="E52" s="1">
        <v>37</v>
      </c>
      <c r="F52" s="1">
        <v>1</v>
      </c>
      <c r="G52" s="1">
        <v>37</v>
      </c>
      <c r="H52" s="1" t="s">
        <v>13</v>
      </c>
      <c r="I52" s="1" t="s">
        <v>22</v>
      </c>
      <c r="J52" s="1" t="s">
        <v>25</v>
      </c>
      <c r="K52" s="2">
        <v>45201</v>
      </c>
      <c r="L52" s="2"/>
      <c r="M52" s="2"/>
      <c r="N52" t="str">
        <f t="shared" si="0"/>
        <v>No</v>
      </c>
      <c r="O52" t="str">
        <f>_xlfn.XLOOKUP(Orders!C52,'Product Master'!$A$1:$A$23,'Product Master'!$C$1:$C$23)</f>
        <v>Home</v>
      </c>
      <c r="P52" t="str">
        <f t="shared" si="1"/>
        <v>NA</v>
      </c>
      <c r="Q52" t="str">
        <f>_xlfn.XLOOKUP(B52,'Customer Master'!$A$1:$A$50,'Customer Master'!$B$1:$B$50)</f>
        <v>Jacob Price</v>
      </c>
      <c r="R52" t="str" cm="1">
        <f t="array" ref="R52">_xlfn.IFS(P52="NA","NA",P52&lt;=2,"FAST",P52&gt;2,"SLOW")</f>
        <v>NA</v>
      </c>
      <c r="S52" t="str">
        <f>_xlfn.XLOOKUP(Orders!C52,'Product Master'!$A$1:$A$23,'Product Master'!$B$1:$B$23)</f>
        <v>Wall Clock</v>
      </c>
    </row>
    <row r="53" spans="1:19" x14ac:dyDescent="0.3">
      <c r="A53" s="1" t="s">
        <v>135</v>
      </c>
      <c r="B53" s="1" t="s">
        <v>105</v>
      </c>
      <c r="C53" s="1" t="s">
        <v>41</v>
      </c>
      <c r="D53" s="1" t="s">
        <v>12</v>
      </c>
      <c r="E53" s="1">
        <v>22</v>
      </c>
      <c r="F53" s="1">
        <v>1</v>
      </c>
      <c r="G53" s="1">
        <v>22</v>
      </c>
      <c r="H53" s="1" t="s">
        <v>31</v>
      </c>
      <c r="I53" s="1" t="s">
        <v>19</v>
      </c>
      <c r="J53" s="1" t="s">
        <v>37</v>
      </c>
      <c r="K53" s="2">
        <v>44956</v>
      </c>
      <c r="L53" s="2">
        <v>44958</v>
      </c>
      <c r="M53" s="2"/>
      <c r="N53" t="str">
        <f t="shared" si="0"/>
        <v>No</v>
      </c>
      <c r="O53" t="str">
        <f>_xlfn.XLOOKUP(Orders!C53,'Product Master'!$A$1:$A$23,'Product Master'!$C$1:$C$23)</f>
        <v>Books</v>
      </c>
      <c r="P53">
        <f t="shared" si="1"/>
        <v>2</v>
      </c>
      <c r="Q53" t="str">
        <f>_xlfn.XLOOKUP(B53,'Customer Master'!$A$1:$A$50,'Customer Master'!$B$1:$B$50)</f>
        <v>Harper Young</v>
      </c>
      <c r="R53" t="str" cm="1">
        <f t="array" ref="R53">_xlfn.IFS(P53="NA","NA",P53&lt;=2,"FAST",P53&gt;2,"SLOW")</f>
        <v>FAST</v>
      </c>
      <c r="S53" t="str">
        <f>_xlfn.XLOOKUP(Orders!C53,'Product Master'!$A$1:$A$23,'Product Master'!$B$1:$B$23)</f>
        <v>Novel</v>
      </c>
    </row>
    <row r="54" spans="1:19" x14ac:dyDescent="0.3">
      <c r="A54" s="1" t="s">
        <v>136</v>
      </c>
      <c r="B54" s="1" t="s">
        <v>85</v>
      </c>
      <c r="C54" s="1" t="s">
        <v>48</v>
      </c>
      <c r="D54" s="32" t="s">
        <v>30</v>
      </c>
      <c r="E54" s="1">
        <v>218</v>
      </c>
      <c r="F54" s="1">
        <v>5</v>
      </c>
      <c r="G54" s="1">
        <v>1090</v>
      </c>
      <c r="H54" s="1" t="s">
        <v>24</v>
      </c>
      <c r="I54" s="1" t="s">
        <v>19</v>
      </c>
      <c r="J54" s="1" t="s">
        <v>15</v>
      </c>
      <c r="K54" s="2">
        <v>45289</v>
      </c>
      <c r="L54" s="2">
        <v>45292</v>
      </c>
      <c r="M54" s="2"/>
      <c r="N54" t="str">
        <f t="shared" si="0"/>
        <v>No</v>
      </c>
      <c r="O54" t="str">
        <f>_xlfn.XLOOKUP(Orders!C54,'Product Master'!$A$1:$A$23,'Product Master'!$C$1:$C$23)</f>
        <v>Home</v>
      </c>
      <c r="P54">
        <f t="shared" si="1"/>
        <v>3</v>
      </c>
      <c r="Q54" t="str">
        <f>_xlfn.XLOOKUP(B54,'Customer Master'!$A$1:$A$50,'Customer Master'!$B$1:$B$50)</f>
        <v>Mason Hall</v>
      </c>
      <c r="R54" t="str" cm="1">
        <f t="array" ref="R54">_xlfn.IFS(P54="NA","NA",P54&lt;=2,"FAST",P54&gt;2,"SLOW")</f>
        <v>SLOW</v>
      </c>
      <c r="S54" t="str">
        <f>_xlfn.XLOOKUP(Orders!C54,'Product Master'!$A$1:$A$23,'Product Master'!$B$1:$B$23)</f>
        <v>Cookware Set Pro</v>
      </c>
    </row>
    <row r="55" spans="1:19" x14ac:dyDescent="0.3">
      <c r="A55" s="1" t="s">
        <v>137</v>
      </c>
      <c r="B55" s="1" t="s">
        <v>100</v>
      </c>
      <c r="C55" s="1" t="s">
        <v>50</v>
      </c>
      <c r="D55" s="1" t="s">
        <v>12</v>
      </c>
      <c r="E55" s="1">
        <v>64</v>
      </c>
      <c r="F55" s="1">
        <v>1</v>
      </c>
      <c r="G55" s="1">
        <v>64</v>
      </c>
      <c r="H55" s="1" t="s">
        <v>13</v>
      </c>
      <c r="I55" s="1" t="s">
        <v>14</v>
      </c>
      <c r="J55" s="1" t="s">
        <v>23</v>
      </c>
      <c r="K55" s="2">
        <v>44991</v>
      </c>
      <c r="L55" s="2"/>
      <c r="M55" s="2">
        <v>44998</v>
      </c>
      <c r="N55" t="str">
        <f t="shared" si="0"/>
        <v>Yes</v>
      </c>
      <c r="O55" t="str">
        <f>_xlfn.XLOOKUP(Orders!C55,'Product Master'!$A$1:$A$23,'Product Master'!$C$1:$C$23)</f>
        <v>Toys</v>
      </c>
      <c r="P55" t="str">
        <f t="shared" si="1"/>
        <v>NA</v>
      </c>
      <c r="Q55" t="str">
        <f>_xlfn.XLOOKUP(B55,'Customer Master'!$A$1:$A$50,'Customer Master'!$B$1:$B$50)</f>
        <v>Grace Scott</v>
      </c>
      <c r="R55" t="str" cm="1">
        <f t="array" ref="R55">_xlfn.IFS(P55="NA","NA",P55&lt;=2,"FAST",P55&gt;2,"SLOW")</f>
        <v>NA</v>
      </c>
      <c r="S55" t="str">
        <f>_xlfn.XLOOKUP(Orders!C55,'Product Master'!$A$1:$A$23,'Product Master'!$B$1:$B$23)</f>
        <v>Leg Set</v>
      </c>
    </row>
    <row r="56" spans="1:19" x14ac:dyDescent="0.3">
      <c r="A56" s="1" t="s">
        <v>138</v>
      </c>
      <c r="B56" s="1" t="s">
        <v>109</v>
      </c>
      <c r="C56" s="1" t="s">
        <v>32</v>
      </c>
      <c r="D56" s="1" t="s">
        <v>30</v>
      </c>
      <c r="E56" s="1">
        <v>36</v>
      </c>
      <c r="F56" s="1">
        <v>4</v>
      </c>
      <c r="G56" s="1">
        <v>144</v>
      </c>
      <c r="H56" s="1" t="s">
        <v>24</v>
      </c>
      <c r="I56" s="1" t="s">
        <v>19</v>
      </c>
      <c r="J56" s="1" t="s">
        <v>27</v>
      </c>
      <c r="K56" s="2">
        <v>44959</v>
      </c>
      <c r="L56" s="2">
        <v>44963</v>
      </c>
      <c r="M56" s="2"/>
      <c r="N56" t="str">
        <f t="shared" si="0"/>
        <v>No</v>
      </c>
      <c r="O56" t="str">
        <f>_xlfn.XLOOKUP(Orders!C56,'Product Master'!$A$1:$A$23,'Product Master'!$C$1:$C$23)</f>
        <v>Home</v>
      </c>
      <c r="P56">
        <f t="shared" si="1"/>
        <v>4</v>
      </c>
      <c r="Q56" t="str">
        <f>_xlfn.XLOOKUP(B56,'Customer Master'!$A$1:$A$50,'Customer Master'!$B$1:$B$50)</f>
        <v>Emily Johnson</v>
      </c>
      <c r="R56" t="str" cm="1">
        <f t="array" ref="R56">_xlfn.IFS(P56="NA","NA",P56&lt;=2,"FAST",P56&gt;2,"SLOW")</f>
        <v>SLOW</v>
      </c>
      <c r="S56" t="str">
        <f>_xlfn.XLOOKUP(Orders!C56,'Product Master'!$A$1:$A$23,'Product Master'!$B$1:$B$23)</f>
        <v>Wall Clock</v>
      </c>
    </row>
    <row r="57" spans="1:19" x14ac:dyDescent="0.3">
      <c r="A57" s="1" t="s">
        <v>139</v>
      </c>
      <c r="B57" s="1" t="s">
        <v>140</v>
      </c>
      <c r="C57" s="1" t="s">
        <v>50</v>
      </c>
      <c r="D57" s="1" t="s">
        <v>33</v>
      </c>
      <c r="E57" s="1">
        <v>65</v>
      </c>
      <c r="F57" s="1">
        <v>1</v>
      </c>
      <c r="G57" s="1">
        <v>65</v>
      </c>
      <c r="H57" s="1" t="s">
        <v>28</v>
      </c>
      <c r="I57" s="1" t="s">
        <v>19</v>
      </c>
      <c r="J57" s="1" t="s">
        <v>37</v>
      </c>
      <c r="K57" s="2">
        <v>45217</v>
      </c>
      <c r="L57" s="2">
        <v>45220</v>
      </c>
      <c r="M57" s="2"/>
      <c r="N57" t="str">
        <f t="shared" si="0"/>
        <v>No</v>
      </c>
      <c r="O57" t="str">
        <f>_xlfn.XLOOKUP(Orders!C57,'Product Master'!$A$1:$A$23,'Product Master'!$C$1:$C$23)</f>
        <v>Toys</v>
      </c>
      <c r="P57">
        <f t="shared" si="1"/>
        <v>3</v>
      </c>
      <c r="Q57" t="str">
        <f>_xlfn.XLOOKUP(B57,'Customer Master'!$A$1:$A$50,'Customer Master'!$B$1:$B$50)</f>
        <v>Emma King</v>
      </c>
      <c r="R57" t="str" cm="1">
        <f t="array" ref="R57">_xlfn.IFS(P57="NA","NA",P57&lt;=2,"FAST",P57&gt;2,"SLOW")</f>
        <v>SLOW</v>
      </c>
      <c r="S57" t="str">
        <f>_xlfn.XLOOKUP(Orders!C57,'Product Master'!$A$1:$A$23,'Product Master'!$B$1:$B$23)</f>
        <v>Leg Set</v>
      </c>
    </row>
    <row r="58" spans="1:19" x14ac:dyDescent="0.3">
      <c r="A58" s="1" t="s">
        <v>141</v>
      </c>
      <c r="B58" s="1" t="s">
        <v>89</v>
      </c>
      <c r="C58" s="1" t="s">
        <v>40</v>
      </c>
      <c r="D58" s="1" t="s">
        <v>30</v>
      </c>
      <c r="E58" s="1">
        <v>26</v>
      </c>
      <c r="F58" s="1">
        <v>1</v>
      </c>
      <c r="G58" s="1">
        <v>26</v>
      </c>
      <c r="H58" s="1" t="s">
        <v>13</v>
      </c>
      <c r="I58" s="1" t="s">
        <v>19</v>
      </c>
      <c r="J58" s="1" t="s">
        <v>15</v>
      </c>
      <c r="K58" s="2">
        <v>44933</v>
      </c>
      <c r="L58" s="2">
        <v>44935</v>
      </c>
      <c r="M58" s="2"/>
      <c r="N58" t="str">
        <f t="shared" si="0"/>
        <v>No</v>
      </c>
      <c r="O58" t="str">
        <f>_xlfn.XLOOKUP(Orders!C58,'Product Master'!$A$1:$A$23,'Product Master'!$C$1:$C$23)</f>
        <v>Fashion</v>
      </c>
      <c r="P58">
        <f t="shared" si="1"/>
        <v>2</v>
      </c>
      <c r="Q58" t="str">
        <f>_xlfn.XLOOKUP(B58,'Customer Master'!$A$1:$A$50,'Customer Master'!$B$1:$B$50)</f>
        <v>Emma King</v>
      </c>
      <c r="R58" t="str" cm="1">
        <f t="array" ref="R58">_xlfn.IFS(P58="NA","NA",P58&lt;=2,"FAST",P58&gt;2,"SLOW")</f>
        <v>FAST</v>
      </c>
      <c r="S58" t="str">
        <f>_xlfn.XLOOKUP(Orders!C58,'Product Master'!$A$1:$A$23,'Product Master'!$B$1:$B$23)</f>
        <v>T-Shirt</v>
      </c>
    </row>
    <row r="59" spans="1:19" x14ac:dyDescent="0.3">
      <c r="A59" s="1" t="s">
        <v>142</v>
      </c>
      <c r="B59" s="1" t="s">
        <v>55</v>
      </c>
      <c r="C59" s="1" t="s">
        <v>46</v>
      </c>
      <c r="D59" s="1" t="s">
        <v>12</v>
      </c>
      <c r="E59" s="1">
        <v>11</v>
      </c>
      <c r="F59" s="1">
        <v>5</v>
      </c>
      <c r="G59" s="1">
        <v>55</v>
      </c>
      <c r="H59" s="1" t="s">
        <v>18</v>
      </c>
      <c r="I59" s="1" t="s">
        <v>22</v>
      </c>
      <c r="J59" s="1" t="s">
        <v>37</v>
      </c>
      <c r="K59" s="2">
        <v>45054</v>
      </c>
      <c r="L59" s="2"/>
      <c r="M59" s="2"/>
      <c r="N59" t="str">
        <f t="shared" si="0"/>
        <v>No</v>
      </c>
      <c r="O59" t="str">
        <f>_xlfn.XLOOKUP(Orders!C59,'Product Master'!$A$1:$A$23,'Product Master'!$C$1:$C$23)</f>
        <v>Books</v>
      </c>
      <c r="P59" t="str">
        <f t="shared" si="1"/>
        <v>NA</v>
      </c>
      <c r="Q59" t="str">
        <f>_xlfn.XLOOKUP(B59,'Customer Master'!$A$1:$A$50,'Customer Master'!$B$1:$B$50)</f>
        <v>Zoe Mitchell</v>
      </c>
      <c r="R59" t="str" cm="1">
        <f t="array" ref="R59">_xlfn.IFS(P59="NA","NA",P59&lt;=2,"FAST",P59&gt;2,"SLOW")</f>
        <v>NA</v>
      </c>
      <c r="S59" t="str">
        <f>_xlfn.XLOOKUP(Orders!C59,'Product Master'!$A$1:$A$23,'Product Master'!$B$1:$B$23)</f>
        <v>Magazine</v>
      </c>
    </row>
    <row r="60" spans="1:19" x14ac:dyDescent="0.3">
      <c r="A60" s="1" t="s">
        <v>143</v>
      </c>
      <c r="B60" s="1" t="s">
        <v>144</v>
      </c>
      <c r="C60" s="1" t="s">
        <v>20</v>
      </c>
      <c r="D60" s="1" t="s">
        <v>12</v>
      </c>
      <c r="E60" s="1">
        <v>195</v>
      </c>
      <c r="F60" s="1">
        <v>4</v>
      </c>
      <c r="G60" s="1">
        <v>780</v>
      </c>
      <c r="H60" s="1" t="s">
        <v>24</v>
      </c>
      <c r="I60" s="1" t="s">
        <v>14</v>
      </c>
      <c r="J60" s="1" t="s">
        <v>37</v>
      </c>
      <c r="K60" s="2">
        <v>45018</v>
      </c>
      <c r="L60" s="2"/>
      <c r="M60" s="2">
        <v>45021</v>
      </c>
      <c r="N60" t="str">
        <f t="shared" si="0"/>
        <v>Yes</v>
      </c>
      <c r="O60" t="str">
        <f>_xlfn.XLOOKUP(Orders!C60,'Product Master'!$A$1:$A$23,'Product Master'!$C$1:$C$23)</f>
        <v>Home</v>
      </c>
      <c r="P60" t="str">
        <f t="shared" si="1"/>
        <v>NA</v>
      </c>
      <c r="Q60" t="str">
        <f>_xlfn.XLOOKUP(B60,'Customer Master'!$A$1:$A$50,'Customer Master'!$B$1:$B$50)</f>
        <v>Ethan Davis</v>
      </c>
      <c r="R60" t="str" cm="1">
        <f t="array" ref="R60">_xlfn.IFS(P60="NA","NA",P60&lt;=2,"FAST",P60&gt;2,"SLOW")</f>
        <v>NA</v>
      </c>
      <c r="S60" t="str">
        <f>_xlfn.XLOOKUP(Orders!C60,'Product Master'!$A$1:$A$23,'Product Master'!$B$1:$B$23)</f>
        <v>Vacuum Cleaner</v>
      </c>
    </row>
    <row r="61" spans="1:19" x14ac:dyDescent="0.3">
      <c r="A61" s="1" t="s">
        <v>145</v>
      </c>
      <c r="B61" s="1" t="s">
        <v>68</v>
      </c>
      <c r="C61" s="1" t="s">
        <v>34</v>
      </c>
      <c r="D61" s="1" t="s">
        <v>33</v>
      </c>
      <c r="E61" s="1">
        <v>44</v>
      </c>
      <c r="F61" s="1">
        <v>5</v>
      </c>
      <c r="G61" s="1">
        <v>220</v>
      </c>
      <c r="H61" s="1" t="s">
        <v>13</v>
      </c>
      <c r="I61" s="1" t="s">
        <v>14</v>
      </c>
      <c r="J61" s="1" t="s">
        <v>23</v>
      </c>
      <c r="K61" s="2">
        <v>45210</v>
      </c>
      <c r="L61" s="2"/>
      <c r="M61" s="2">
        <v>45211</v>
      </c>
      <c r="N61" t="str">
        <f t="shared" si="0"/>
        <v>Yes</v>
      </c>
      <c r="O61" t="str">
        <f>_xlfn.XLOOKUP(Orders!C61,'Product Master'!$A$1:$A$23,'Product Master'!$C$1:$C$23)</f>
        <v>Fashion</v>
      </c>
      <c r="P61" t="str">
        <f t="shared" si="1"/>
        <v>NA</v>
      </c>
      <c r="Q61" t="str">
        <f>_xlfn.XLOOKUP(B61,'Customer Master'!$A$1:$A$50,'Customer Master'!$B$1:$B$50)</f>
        <v>Ava Robinson</v>
      </c>
      <c r="R61" t="str" cm="1">
        <f t="array" ref="R61">_xlfn.IFS(P61="NA","NA",P61&lt;=2,"FAST",P61&gt;2,"SLOW")</f>
        <v>NA</v>
      </c>
      <c r="S61" t="str">
        <f>_xlfn.XLOOKUP(Orders!C61,'Product Master'!$A$1:$A$23,'Product Master'!$B$1:$B$23)</f>
        <v>Formal Shirt</v>
      </c>
    </row>
    <row r="62" spans="1:19" x14ac:dyDescent="0.3">
      <c r="A62" s="1" t="s">
        <v>146</v>
      </c>
      <c r="B62" s="1" t="s">
        <v>147</v>
      </c>
      <c r="C62" s="1" t="s">
        <v>42</v>
      </c>
      <c r="D62" s="1" t="s">
        <v>17</v>
      </c>
      <c r="E62" s="1">
        <v>69</v>
      </c>
      <c r="F62" s="1">
        <v>4</v>
      </c>
      <c r="G62" s="1">
        <v>276</v>
      </c>
      <c r="H62" s="1" t="s">
        <v>31</v>
      </c>
      <c r="I62" s="1" t="s">
        <v>22</v>
      </c>
      <c r="J62" s="1" t="s">
        <v>15</v>
      </c>
      <c r="K62" s="2">
        <v>45179</v>
      </c>
      <c r="L62" s="2"/>
      <c r="M62" s="2"/>
      <c r="N62" t="str">
        <f t="shared" si="0"/>
        <v>No</v>
      </c>
      <c r="O62" t="str">
        <f>_xlfn.XLOOKUP(Orders!C62,'Product Master'!$A$1:$A$23,'Product Master'!$C$1:$C$23)</f>
        <v>Books</v>
      </c>
      <c r="P62" t="str">
        <f t="shared" si="1"/>
        <v>NA</v>
      </c>
      <c r="Q62" t="str">
        <f>_xlfn.XLOOKUP(B62,'Customer Master'!$A$1:$A$50,'Customer Master'!$B$1:$B$50)</f>
        <v>Scarlett Adams</v>
      </c>
      <c r="R62" t="str" cm="1">
        <f t="array" ref="R62">_xlfn.IFS(P62="NA","NA",P62&lt;=2,"FAST",P62&gt;2,"SLOW")</f>
        <v>NA</v>
      </c>
      <c r="S62" t="str">
        <f>_xlfn.XLOOKUP(Orders!C62,'Product Master'!$A$1:$A$23,'Product Master'!$B$1:$B$23)</f>
        <v>Textbook</v>
      </c>
    </row>
    <row r="63" spans="1:19" x14ac:dyDescent="0.3">
      <c r="A63" s="1" t="s">
        <v>148</v>
      </c>
      <c r="B63" s="1" t="s">
        <v>149</v>
      </c>
      <c r="C63" s="1" t="s">
        <v>43</v>
      </c>
      <c r="D63" s="1" t="s">
        <v>12</v>
      </c>
      <c r="E63" s="1">
        <v>815</v>
      </c>
      <c r="F63" s="1">
        <v>4</v>
      </c>
      <c r="G63" s="1">
        <v>3260</v>
      </c>
      <c r="H63" s="1" t="s">
        <v>18</v>
      </c>
      <c r="I63" s="1" t="s">
        <v>19</v>
      </c>
      <c r="J63" s="1" t="s">
        <v>23</v>
      </c>
      <c r="K63" s="2">
        <v>45252</v>
      </c>
      <c r="L63" s="2">
        <v>45259</v>
      </c>
      <c r="M63" s="2"/>
      <c r="N63" t="str">
        <f t="shared" si="0"/>
        <v>No</v>
      </c>
      <c r="O63" t="str">
        <f>_xlfn.XLOOKUP(Orders!C63,'Product Master'!$A$1:$A$23,'Product Master'!$C$1:$C$23)</f>
        <v>Electronics</v>
      </c>
      <c r="P63">
        <f t="shared" si="1"/>
        <v>7</v>
      </c>
      <c r="Q63" t="str">
        <f>_xlfn.XLOOKUP(B63,'Customer Master'!$A$1:$A$50,'Customer Master'!$B$1:$B$50)</f>
        <v>Elijah Lewis</v>
      </c>
      <c r="R63" t="str" cm="1">
        <f t="array" ref="R63">_xlfn.IFS(P63="NA","NA",P63&lt;=2,"FAST",P63&gt;2,"SLOW")</f>
        <v>SLOW</v>
      </c>
      <c r="S63" t="str">
        <f>_xlfn.XLOOKUP(Orders!C63,'Product Master'!$A$1:$A$23,'Product Master'!$B$1:$B$23)</f>
        <v>Smartphone</v>
      </c>
    </row>
    <row r="64" spans="1:19" x14ac:dyDescent="0.3">
      <c r="A64" s="1" t="s">
        <v>150</v>
      </c>
      <c r="B64" s="1" t="s">
        <v>151</v>
      </c>
      <c r="C64" s="1" t="s">
        <v>40</v>
      </c>
      <c r="D64" s="1" t="s">
        <v>17</v>
      </c>
      <c r="E64" s="1">
        <v>27</v>
      </c>
      <c r="F64" s="1">
        <v>1</v>
      </c>
      <c r="G64" s="1">
        <v>27</v>
      </c>
      <c r="H64" s="1" t="s">
        <v>31</v>
      </c>
      <c r="I64" s="1" t="s">
        <v>22</v>
      </c>
      <c r="J64" s="1" t="s">
        <v>27</v>
      </c>
      <c r="K64" s="2">
        <v>45048</v>
      </c>
      <c r="L64" s="2"/>
      <c r="M64" s="2"/>
      <c r="N64" t="str">
        <f t="shared" si="0"/>
        <v>No</v>
      </c>
      <c r="O64" t="str">
        <f>_xlfn.XLOOKUP(Orders!C64,'Product Master'!$A$1:$A$23,'Product Master'!$C$1:$C$23)</f>
        <v>Fashion</v>
      </c>
      <c r="P64" t="str">
        <f t="shared" si="1"/>
        <v>NA</v>
      </c>
      <c r="Q64" t="str">
        <f>_xlfn.XLOOKUP(B64,'Customer Master'!$A$1:$A$50,'Customer Master'!$B$1:$B$50)</f>
        <v>Noah Wilson</v>
      </c>
      <c r="R64" t="str" cm="1">
        <f t="array" ref="R64">_xlfn.IFS(P64="NA","NA",P64&lt;=2,"FAST",P64&gt;2,"SLOW")</f>
        <v>NA</v>
      </c>
      <c r="S64" t="str">
        <f>_xlfn.XLOOKUP(Orders!C64,'Product Master'!$A$1:$A$23,'Product Master'!$B$1:$B$23)</f>
        <v>T-Shirt</v>
      </c>
    </row>
    <row r="65" spans="1:19" x14ac:dyDescent="0.3">
      <c r="A65" s="1" t="s">
        <v>152</v>
      </c>
      <c r="B65" s="1" t="s">
        <v>153</v>
      </c>
      <c r="C65" s="1" t="s">
        <v>35</v>
      </c>
      <c r="D65" s="1" t="s">
        <v>33</v>
      </c>
      <c r="E65" s="1">
        <v>139</v>
      </c>
      <c r="F65" s="1">
        <v>5</v>
      </c>
      <c r="G65" s="1">
        <v>695</v>
      </c>
      <c r="H65" s="1" t="s">
        <v>13</v>
      </c>
      <c r="I65" s="1" t="s">
        <v>19</v>
      </c>
      <c r="J65" s="1" t="s">
        <v>23</v>
      </c>
      <c r="K65" s="2">
        <v>45285</v>
      </c>
      <c r="L65" s="2">
        <v>45289</v>
      </c>
      <c r="M65" s="2"/>
      <c r="N65" t="str">
        <f t="shared" si="0"/>
        <v>No</v>
      </c>
      <c r="O65" t="str">
        <f>_xlfn.XLOOKUP(Orders!C65,'Product Master'!$A$1:$A$23,'Product Master'!$C$1:$C$23)</f>
        <v>Home</v>
      </c>
      <c r="P65">
        <f t="shared" si="1"/>
        <v>4</v>
      </c>
      <c r="Q65" t="str">
        <f>_xlfn.XLOOKUP(B65,'Customer Master'!$A$1:$A$50,'Customer Master'!$B$1:$B$50)</f>
        <v>Noah Wilson</v>
      </c>
      <c r="R65" t="str" cm="1">
        <f t="array" ref="R65">_xlfn.IFS(P65="NA","NA",P65&lt;=2,"FAST",P65&gt;2,"SLOW")</f>
        <v>SLOW</v>
      </c>
      <c r="S65" t="str">
        <f>_xlfn.XLOOKUP(Orders!C65,'Product Master'!$A$1:$A$23,'Product Master'!$B$1:$B$23)</f>
        <v>Cookware Set</v>
      </c>
    </row>
    <row r="66" spans="1:19" x14ac:dyDescent="0.3">
      <c r="A66" s="1" t="s">
        <v>154</v>
      </c>
      <c r="B66" s="1" t="s">
        <v>64</v>
      </c>
      <c r="C66" s="1" t="s">
        <v>42</v>
      </c>
      <c r="D66" s="1" t="s">
        <v>21</v>
      </c>
      <c r="E66" s="1">
        <v>69</v>
      </c>
      <c r="F66" s="1">
        <v>3</v>
      </c>
      <c r="G66" s="1">
        <v>207</v>
      </c>
      <c r="H66" s="1" t="s">
        <v>24</v>
      </c>
      <c r="I66" s="1" t="s">
        <v>14</v>
      </c>
      <c r="J66" s="1" t="s">
        <v>27</v>
      </c>
      <c r="K66" s="2">
        <v>45217</v>
      </c>
      <c r="L66" s="2"/>
      <c r="M66" s="2">
        <v>45219</v>
      </c>
      <c r="N66" t="str">
        <f t="shared" si="0"/>
        <v>Yes</v>
      </c>
      <c r="O66" t="str">
        <f>_xlfn.XLOOKUP(Orders!C66,'Product Master'!$A$1:$A$23,'Product Master'!$C$1:$C$23)</f>
        <v>Books</v>
      </c>
      <c r="P66" t="str">
        <f t="shared" si="1"/>
        <v>NA</v>
      </c>
      <c r="Q66" t="str">
        <f>_xlfn.XLOOKUP(B66,'Customer Master'!$A$1:$A$50,'Customer Master'!$B$1:$B$50)</f>
        <v>Jackson Allen</v>
      </c>
      <c r="R66" t="str" cm="1">
        <f t="array" ref="R66">_xlfn.IFS(P66="NA","NA",P66&lt;=2,"FAST",P66&gt;2,"SLOW")</f>
        <v>NA</v>
      </c>
      <c r="S66" t="str">
        <f>_xlfn.XLOOKUP(Orders!C66,'Product Master'!$A$1:$A$23,'Product Master'!$B$1:$B$23)</f>
        <v>Textbook</v>
      </c>
    </row>
    <row r="67" spans="1:19" x14ac:dyDescent="0.3">
      <c r="A67" s="1" t="s">
        <v>155</v>
      </c>
      <c r="B67" s="1" t="s">
        <v>64</v>
      </c>
      <c r="C67" s="1" t="s">
        <v>34</v>
      </c>
      <c r="D67" s="1" t="s">
        <v>33</v>
      </c>
      <c r="E67" s="1">
        <v>42</v>
      </c>
      <c r="F67" s="1">
        <v>1</v>
      </c>
      <c r="G67" s="1">
        <v>42</v>
      </c>
      <c r="H67" s="1" t="s">
        <v>13</v>
      </c>
      <c r="I67" s="1" t="s">
        <v>14</v>
      </c>
      <c r="J67" s="1" t="s">
        <v>15</v>
      </c>
      <c r="K67" s="2">
        <v>45066</v>
      </c>
      <c r="L67" s="2"/>
      <c r="M67" s="2">
        <v>45067</v>
      </c>
      <c r="N67" t="str">
        <f t="shared" ref="N67:N101" si="2">IF(OR(I67="Cancelled",M67&lt;&gt;""),"Yes","No")</f>
        <v>Yes</v>
      </c>
      <c r="O67" t="str">
        <f>_xlfn.XLOOKUP(Orders!C67,'Product Master'!$A$1:$A$23,'Product Master'!$C$1:$C$23)</f>
        <v>Fashion</v>
      </c>
      <c r="P67" t="str">
        <f t="shared" ref="P67:P101" si="3">IF(L67&lt;&gt;"",L67-K67,"NA")</f>
        <v>NA</v>
      </c>
      <c r="Q67" t="str">
        <f>_xlfn.XLOOKUP(B67,'Customer Master'!$A$1:$A$50,'Customer Master'!$B$1:$B$50)</f>
        <v>Jackson Allen</v>
      </c>
      <c r="R67" t="str" cm="1">
        <f t="array" ref="R67">_xlfn.IFS(P67="NA","NA",P67&lt;=2,"FAST",P67&gt;2,"SLOW")</f>
        <v>NA</v>
      </c>
      <c r="S67" t="str">
        <f>_xlfn.XLOOKUP(Orders!C67,'Product Master'!$A$1:$A$23,'Product Master'!$B$1:$B$23)</f>
        <v>Formal Shirt</v>
      </c>
    </row>
    <row r="68" spans="1:19" x14ac:dyDescent="0.3">
      <c r="A68" s="1" t="s">
        <v>156</v>
      </c>
      <c r="B68" s="1" t="s">
        <v>157</v>
      </c>
      <c r="C68" s="1" t="s">
        <v>49</v>
      </c>
      <c r="D68" s="1" t="s">
        <v>12</v>
      </c>
      <c r="E68" s="1">
        <v>31</v>
      </c>
      <c r="F68" s="1">
        <v>4</v>
      </c>
      <c r="G68" s="1">
        <v>124</v>
      </c>
      <c r="H68" s="1" t="s">
        <v>18</v>
      </c>
      <c r="I68" s="1" t="s">
        <v>19</v>
      </c>
      <c r="J68" s="1" t="s">
        <v>25</v>
      </c>
      <c r="K68" s="2">
        <v>45135</v>
      </c>
      <c r="L68" s="2">
        <v>45137</v>
      </c>
      <c r="M68" s="2"/>
      <c r="N68" t="str">
        <f t="shared" si="2"/>
        <v>No</v>
      </c>
      <c r="O68" t="str">
        <f>_xlfn.XLOOKUP(Orders!C68,'Product Master'!$A$1:$A$23,'Product Master'!$C$1:$C$23)</f>
        <v>Toys</v>
      </c>
      <c r="P68">
        <f t="shared" si="3"/>
        <v>2</v>
      </c>
      <c r="Q68" t="e">
        <f>_xlfn.XLOOKUP(B68,'Customer Master'!$A$1:$A$50,'Customer Master'!$B$1:$B$50)</f>
        <v>#N/A</v>
      </c>
      <c r="R68" t="str" cm="1">
        <f t="array" ref="R68">_xlfn.IFS(P68="NA","NA",P68&lt;=2,"FAST",P68&gt;2,"SLOW")</f>
        <v>FAST</v>
      </c>
      <c r="S68" t="str">
        <f>_xlfn.XLOOKUP(Orders!C68,'Product Master'!$A$1:$A$23,'Product Master'!$B$1:$B$23)</f>
        <v>Puzzle</v>
      </c>
    </row>
    <row r="69" spans="1:19" x14ac:dyDescent="0.3">
      <c r="A69" s="1" t="s">
        <v>158</v>
      </c>
      <c r="B69" s="1" t="s">
        <v>75</v>
      </c>
      <c r="C69" s="1" t="s">
        <v>29</v>
      </c>
      <c r="D69" s="1" t="s">
        <v>33</v>
      </c>
      <c r="E69" s="1">
        <v>104</v>
      </c>
      <c r="F69" s="1">
        <v>3</v>
      </c>
      <c r="G69" s="1">
        <v>312</v>
      </c>
      <c r="H69" s="1" t="s">
        <v>18</v>
      </c>
      <c r="I69" s="1" t="s">
        <v>22</v>
      </c>
      <c r="J69" s="1" t="s">
        <v>25</v>
      </c>
      <c r="K69" s="2">
        <v>45278</v>
      </c>
      <c r="L69" s="2"/>
      <c r="M69" s="2"/>
      <c r="N69" t="str">
        <f t="shared" si="2"/>
        <v>No</v>
      </c>
      <c r="O69" t="str">
        <f>_xlfn.XLOOKUP(Orders!C69,'Product Master'!$A$1:$A$23,'Product Master'!$C$1:$C$23)</f>
        <v>Electronics</v>
      </c>
      <c r="P69" t="str">
        <f t="shared" si="3"/>
        <v>NA</v>
      </c>
      <c r="Q69" t="str">
        <f>_xlfn.XLOOKUP(B69,'Customer Master'!$A$1:$A$50,'Customer Master'!$B$1:$B$50)</f>
        <v>Emily Johnson</v>
      </c>
      <c r="R69" t="str" cm="1">
        <f t="array" ref="R69">_xlfn.IFS(P69="NA","NA",P69&lt;=2,"FAST",P69&gt;2,"SLOW")</f>
        <v>NA</v>
      </c>
      <c r="S69" t="str">
        <f>_xlfn.XLOOKUP(Orders!C69,'Product Master'!$A$1:$A$23,'Product Master'!$B$1:$B$23)</f>
        <v>Bluetooth Speaker</v>
      </c>
    </row>
    <row r="70" spans="1:19" x14ac:dyDescent="0.3">
      <c r="A70" s="1" t="s">
        <v>159</v>
      </c>
      <c r="B70" s="1" t="s">
        <v>60</v>
      </c>
      <c r="C70" s="1" t="s">
        <v>26</v>
      </c>
      <c r="D70" s="1" t="s">
        <v>17</v>
      </c>
      <c r="E70" s="1">
        <v>58</v>
      </c>
      <c r="F70" s="1">
        <v>2</v>
      </c>
      <c r="G70" s="1">
        <v>116</v>
      </c>
      <c r="H70" s="1" t="s">
        <v>13</v>
      </c>
      <c r="I70" s="1" t="s">
        <v>14</v>
      </c>
      <c r="J70" s="1" t="s">
        <v>23</v>
      </c>
      <c r="K70" s="2">
        <v>45109</v>
      </c>
      <c r="L70" s="2"/>
      <c r="M70" s="2">
        <v>45114</v>
      </c>
      <c r="N70" t="str">
        <f t="shared" si="2"/>
        <v>Yes</v>
      </c>
      <c r="O70" t="str">
        <f>_xlfn.XLOOKUP(Orders!C70,'Product Master'!$A$1:$A$23,'Product Master'!$C$1:$C$23)</f>
        <v>Fashion</v>
      </c>
      <c r="P70" t="str">
        <f t="shared" si="3"/>
        <v>NA</v>
      </c>
      <c r="Q70" t="str">
        <f>_xlfn.XLOOKUP(B70,'Customer Master'!$A$1:$A$50,'Customer Master'!$B$1:$B$50)</f>
        <v>Grace Ward</v>
      </c>
      <c r="R70" t="str" cm="1">
        <f t="array" ref="R70">_xlfn.IFS(P70="NA","NA",P70&lt;=2,"FAST",P70&gt;2,"SLOW")</f>
        <v>NA</v>
      </c>
      <c r="S70" t="str">
        <f>_xlfn.XLOOKUP(Orders!C70,'Product Master'!$A$1:$A$23,'Product Master'!$B$1:$B$23)</f>
        <v>Jeans</v>
      </c>
    </row>
    <row r="71" spans="1:19" x14ac:dyDescent="0.3">
      <c r="A71" s="1" t="s">
        <v>160</v>
      </c>
      <c r="B71" s="1" t="s">
        <v>64</v>
      </c>
      <c r="C71" s="1" t="s">
        <v>50</v>
      </c>
      <c r="D71" s="1" t="s">
        <v>33</v>
      </c>
      <c r="E71" s="1">
        <v>62</v>
      </c>
      <c r="F71" s="1">
        <v>2</v>
      </c>
      <c r="G71" s="1">
        <v>124</v>
      </c>
      <c r="H71" s="1" t="s">
        <v>31</v>
      </c>
      <c r="I71" s="1" t="s">
        <v>14</v>
      </c>
      <c r="J71" s="1" t="s">
        <v>15</v>
      </c>
      <c r="K71" s="2">
        <v>45208</v>
      </c>
      <c r="L71" s="2"/>
      <c r="M71" s="2">
        <v>45209</v>
      </c>
      <c r="N71" t="str">
        <f t="shared" si="2"/>
        <v>Yes</v>
      </c>
      <c r="O71" t="str">
        <f>_xlfn.XLOOKUP(Orders!C71,'Product Master'!$A$1:$A$23,'Product Master'!$C$1:$C$23)</f>
        <v>Toys</v>
      </c>
      <c r="P71" t="str">
        <f t="shared" si="3"/>
        <v>NA</v>
      </c>
      <c r="Q71" t="str">
        <f>_xlfn.XLOOKUP(B71,'Customer Master'!$A$1:$A$50,'Customer Master'!$B$1:$B$50)</f>
        <v>Jackson Allen</v>
      </c>
      <c r="R71" t="str" cm="1">
        <f t="array" ref="R71">_xlfn.IFS(P71="NA","NA",P71&lt;=2,"FAST",P71&gt;2,"SLOW")</f>
        <v>NA</v>
      </c>
      <c r="S71" t="str">
        <f>_xlfn.XLOOKUP(Orders!C71,'Product Master'!$A$1:$A$23,'Product Master'!$B$1:$B$23)</f>
        <v>Leg Set</v>
      </c>
    </row>
    <row r="72" spans="1:19" x14ac:dyDescent="0.3">
      <c r="A72" s="1" t="s">
        <v>161</v>
      </c>
      <c r="B72" s="1" t="s">
        <v>120</v>
      </c>
      <c r="C72" s="1" t="s">
        <v>34</v>
      </c>
      <c r="D72" s="1" t="s">
        <v>17</v>
      </c>
      <c r="E72" s="1">
        <v>43</v>
      </c>
      <c r="F72" s="1">
        <v>1</v>
      </c>
      <c r="G72" s="1">
        <v>43</v>
      </c>
      <c r="H72" s="1" t="s">
        <v>18</v>
      </c>
      <c r="I72" s="1" t="s">
        <v>19</v>
      </c>
      <c r="J72" s="1" t="s">
        <v>27</v>
      </c>
      <c r="K72" s="2">
        <v>45278</v>
      </c>
      <c r="L72" s="2">
        <v>45285</v>
      </c>
      <c r="M72" s="2"/>
      <c r="N72" t="str">
        <f t="shared" si="2"/>
        <v>No</v>
      </c>
      <c r="O72" t="str">
        <f>_xlfn.XLOOKUP(Orders!C72,'Product Master'!$A$1:$A$23,'Product Master'!$C$1:$C$23)</f>
        <v>Fashion</v>
      </c>
      <c r="P72">
        <f t="shared" si="3"/>
        <v>7</v>
      </c>
      <c r="Q72" t="str">
        <f>_xlfn.XLOOKUP(B72,'Customer Master'!$A$1:$A$50,'Customer Master'!$B$1:$B$50)</f>
        <v>Ava Robinson</v>
      </c>
      <c r="R72" t="str" cm="1">
        <f t="array" ref="R72">_xlfn.IFS(P72="NA","NA",P72&lt;=2,"FAST",P72&gt;2,"SLOW")</f>
        <v>SLOW</v>
      </c>
      <c r="S72" t="str">
        <f>_xlfn.XLOOKUP(Orders!C72,'Product Master'!$A$1:$A$23,'Product Master'!$B$1:$B$23)</f>
        <v>Formal Shirt</v>
      </c>
    </row>
    <row r="73" spans="1:19" x14ac:dyDescent="0.3">
      <c r="A73" s="1" t="s">
        <v>162</v>
      </c>
      <c r="B73" s="1" t="s">
        <v>149</v>
      </c>
      <c r="C73" s="1" t="s">
        <v>50</v>
      </c>
      <c r="D73" s="1" t="s">
        <v>17</v>
      </c>
      <c r="E73" s="1">
        <v>62</v>
      </c>
      <c r="F73" s="1">
        <v>4</v>
      </c>
      <c r="G73" s="1">
        <v>248</v>
      </c>
      <c r="H73" s="1" t="s">
        <v>31</v>
      </c>
      <c r="I73" s="1" t="s">
        <v>22</v>
      </c>
      <c r="J73" s="1" t="s">
        <v>27</v>
      </c>
      <c r="K73" s="2">
        <v>44992</v>
      </c>
      <c r="L73" s="2"/>
      <c r="M73" s="2"/>
      <c r="N73" t="str">
        <f t="shared" si="2"/>
        <v>No</v>
      </c>
      <c r="O73" t="str">
        <f>_xlfn.XLOOKUP(Orders!C73,'Product Master'!$A$1:$A$23,'Product Master'!$C$1:$C$23)</f>
        <v>Toys</v>
      </c>
      <c r="P73" t="str">
        <f t="shared" si="3"/>
        <v>NA</v>
      </c>
      <c r="Q73" t="str">
        <f>_xlfn.XLOOKUP(B73,'Customer Master'!$A$1:$A$50,'Customer Master'!$B$1:$B$50)</f>
        <v>Elijah Lewis</v>
      </c>
      <c r="R73" t="str" cm="1">
        <f t="array" ref="R73">_xlfn.IFS(P73="NA","NA",P73&lt;=2,"FAST",P73&gt;2,"SLOW")</f>
        <v>NA</v>
      </c>
      <c r="S73" t="str">
        <f>_xlfn.XLOOKUP(Orders!C73,'Product Master'!$A$1:$A$23,'Product Master'!$B$1:$B$23)</f>
        <v>Leg Set</v>
      </c>
    </row>
    <row r="74" spans="1:19" x14ac:dyDescent="0.3">
      <c r="A74" s="1" t="s">
        <v>163</v>
      </c>
      <c r="B74" s="1" t="s">
        <v>95</v>
      </c>
      <c r="C74" s="1" t="s">
        <v>38</v>
      </c>
      <c r="D74" s="1" t="s">
        <v>12</v>
      </c>
      <c r="E74" s="1">
        <v>95</v>
      </c>
      <c r="F74" s="1">
        <v>2</v>
      </c>
      <c r="G74" s="1">
        <v>190</v>
      </c>
      <c r="H74" s="1" t="s">
        <v>24</v>
      </c>
      <c r="I74" s="1" t="s">
        <v>14</v>
      </c>
      <c r="J74" s="1" t="s">
        <v>25</v>
      </c>
      <c r="K74" s="2">
        <v>45129</v>
      </c>
      <c r="L74" s="2"/>
      <c r="M74" s="2">
        <v>45132</v>
      </c>
      <c r="N74" t="str">
        <f t="shared" si="2"/>
        <v>Yes</v>
      </c>
      <c r="O74" t="str">
        <f>_xlfn.XLOOKUP(Orders!C74,'Product Master'!$A$1:$A$23,'Product Master'!$C$1:$C$23)</f>
        <v>Fashion</v>
      </c>
      <c r="P74" t="str">
        <f t="shared" si="3"/>
        <v>NA</v>
      </c>
      <c r="Q74" t="str">
        <f>_xlfn.XLOOKUP(B74,'Customer Master'!$A$1:$A$50,'Customer Master'!$B$1:$B$50)</f>
        <v>Lily Bennett</v>
      </c>
      <c r="R74" t="str" cm="1">
        <f t="array" ref="R74">_xlfn.IFS(P74="NA","NA",P74&lt;=2,"FAST",P74&gt;2,"SLOW")</f>
        <v>NA</v>
      </c>
      <c r="S74" t="str">
        <f>_xlfn.XLOOKUP(Orders!C74,'Product Master'!$A$1:$A$23,'Product Master'!$B$1:$B$23)</f>
        <v>Shoes</v>
      </c>
    </row>
    <row r="75" spans="1:19" x14ac:dyDescent="0.3">
      <c r="A75" s="1" t="s">
        <v>164</v>
      </c>
      <c r="B75" s="1" t="s">
        <v>93</v>
      </c>
      <c r="C75" s="1" t="s">
        <v>32</v>
      </c>
      <c r="D75" s="1" t="s">
        <v>30</v>
      </c>
      <c r="E75" s="1">
        <v>36</v>
      </c>
      <c r="F75" s="1">
        <v>4</v>
      </c>
      <c r="G75" s="1">
        <v>144</v>
      </c>
      <c r="H75" s="1" t="s">
        <v>13</v>
      </c>
      <c r="I75" s="1" t="s">
        <v>19</v>
      </c>
      <c r="J75" s="1" t="s">
        <v>37</v>
      </c>
      <c r="K75" s="2">
        <v>44944</v>
      </c>
      <c r="L75" s="2">
        <v>44950</v>
      </c>
      <c r="M75" s="2"/>
      <c r="N75" t="str">
        <f t="shared" si="2"/>
        <v>No</v>
      </c>
      <c r="O75" t="str">
        <f>_xlfn.XLOOKUP(Orders!C75,'Product Master'!$A$1:$A$23,'Product Master'!$C$1:$C$23)</f>
        <v>Home</v>
      </c>
      <c r="P75">
        <f t="shared" si="3"/>
        <v>6</v>
      </c>
      <c r="Q75" t="str">
        <f>_xlfn.XLOOKUP(B75,'Customer Master'!$A$1:$A$50,'Customer Master'!$B$1:$B$50)</f>
        <v>Elijah Lewis</v>
      </c>
      <c r="R75" t="str" cm="1">
        <f t="array" ref="R75">_xlfn.IFS(P75="NA","NA",P75&lt;=2,"FAST",P75&gt;2,"SLOW")</f>
        <v>SLOW</v>
      </c>
      <c r="S75" t="str">
        <f>_xlfn.XLOOKUP(Orders!C75,'Product Master'!$A$1:$A$23,'Product Master'!$B$1:$B$23)</f>
        <v>Wall Clock</v>
      </c>
    </row>
    <row r="76" spans="1:19" x14ac:dyDescent="0.3">
      <c r="A76" s="1" t="s">
        <v>165</v>
      </c>
      <c r="B76" s="1" t="s">
        <v>66</v>
      </c>
      <c r="C76" s="1" t="s">
        <v>39</v>
      </c>
      <c r="D76" s="1" t="s">
        <v>17</v>
      </c>
      <c r="E76" s="1">
        <v>73</v>
      </c>
      <c r="F76" s="1">
        <v>5</v>
      </c>
      <c r="G76" s="1">
        <v>365</v>
      </c>
      <c r="H76" s="1" t="s">
        <v>13</v>
      </c>
      <c r="I76" s="1" t="s">
        <v>22</v>
      </c>
      <c r="J76" s="1" t="s">
        <v>15</v>
      </c>
      <c r="K76" s="2">
        <v>45070</v>
      </c>
      <c r="L76" s="2"/>
      <c r="M76" s="2"/>
      <c r="N76" t="str">
        <f t="shared" si="2"/>
        <v>No</v>
      </c>
      <c r="O76" t="str">
        <f>_xlfn.XLOOKUP(Orders!C76,'Product Master'!$A$1:$A$23,'Product Master'!$C$1:$C$23)</f>
        <v>Electronics</v>
      </c>
      <c r="P76" t="str">
        <f t="shared" si="3"/>
        <v>NA</v>
      </c>
      <c r="Q76" t="str">
        <f>_xlfn.XLOOKUP(B76,'Customer Master'!$A$1:$A$50,'Customer Master'!$B$1:$B$50)</f>
        <v>Noah Wilson</v>
      </c>
      <c r="R76" t="str" cm="1">
        <f t="array" ref="R76">_xlfn.IFS(P76="NA","NA",P76&lt;=2,"FAST",P76&gt;2,"SLOW")</f>
        <v>NA</v>
      </c>
      <c r="S76" t="str">
        <f>_xlfn.XLOOKUP(Orders!C76,'Product Master'!$A$1:$A$23,'Product Master'!$B$1:$B$23)</f>
        <v>Gaming Mouse</v>
      </c>
    </row>
    <row r="77" spans="1:19" x14ac:dyDescent="0.3">
      <c r="A77" s="1" t="s">
        <v>166</v>
      </c>
      <c r="B77" s="1" t="s">
        <v>77</v>
      </c>
      <c r="C77" s="1" t="s">
        <v>34</v>
      </c>
      <c r="D77" s="1" t="s">
        <v>12</v>
      </c>
      <c r="E77" s="1">
        <v>43</v>
      </c>
      <c r="F77" s="1">
        <v>4</v>
      </c>
      <c r="G77" s="1">
        <v>172</v>
      </c>
      <c r="H77" s="1" t="s">
        <v>31</v>
      </c>
      <c r="I77" s="1" t="s">
        <v>19</v>
      </c>
      <c r="J77" s="1" t="s">
        <v>15</v>
      </c>
      <c r="K77" s="2">
        <v>45172</v>
      </c>
      <c r="L77" s="2">
        <v>45178</v>
      </c>
      <c r="M77" s="2"/>
      <c r="N77" t="str">
        <f t="shared" si="2"/>
        <v>No</v>
      </c>
      <c r="O77" t="str">
        <f>_xlfn.XLOOKUP(Orders!C77,'Product Master'!$A$1:$A$23,'Product Master'!$C$1:$C$23)</f>
        <v>Fashion</v>
      </c>
      <c r="P77">
        <f t="shared" si="3"/>
        <v>6</v>
      </c>
      <c r="Q77" t="str">
        <f>_xlfn.XLOOKUP(B77,'Customer Master'!$A$1:$A$50,'Customer Master'!$B$1:$B$50)</f>
        <v>Charlotte Reed</v>
      </c>
      <c r="R77" t="str" cm="1">
        <f t="array" ref="R77">_xlfn.IFS(P77="NA","NA",P77&lt;=2,"FAST",P77&gt;2,"SLOW")</f>
        <v>SLOW</v>
      </c>
      <c r="S77" t="str">
        <f>_xlfn.XLOOKUP(Orders!C77,'Product Master'!$A$1:$A$23,'Product Master'!$B$1:$B$23)</f>
        <v>Formal Shirt</v>
      </c>
    </row>
    <row r="78" spans="1:19" x14ac:dyDescent="0.3">
      <c r="A78" s="1" t="s">
        <v>167</v>
      </c>
      <c r="B78" s="1" t="s">
        <v>151</v>
      </c>
      <c r="C78" s="1" t="s">
        <v>48</v>
      </c>
      <c r="D78" s="1" t="s">
        <v>33</v>
      </c>
      <c r="E78" s="1">
        <v>214</v>
      </c>
      <c r="F78" s="1">
        <v>5</v>
      </c>
      <c r="G78" s="1">
        <v>1070</v>
      </c>
      <c r="H78" s="1" t="s">
        <v>31</v>
      </c>
      <c r="I78" s="1" t="s">
        <v>19</v>
      </c>
      <c r="J78" s="1" t="s">
        <v>25</v>
      </c>
      <c r="K78" s="2">
        <v>45232</v>
      </c>
      <c r="L78" s="2">
        <v>45234</v>
      </c>
      <c r="M78" s="2"/>
      <c r="N78" t="str">
        <f t="shared" si="2"/>
        <v>No</v>
      </c>
      <c r="O78" t="str">
        <f>_xlfn.XLOOKUP(Orders!C78,'Product Master'!$A$1:$A$23,'Product Master'!$C$1:$C$23)</f>
        <v>Home</v>
      </c>
      <c r="P78">
        <f t="shared" si="3"/>
        <v>2</v>
      </c>
      <c r="Q78" t="str">
        <f>_xlfn.XLOOKUP(B78,'Customer Master'!$A$1:$A$50,'Customer Master'!$B$1:$B$50)</f>
        <v>Noah Wilson</v>
      </c>
      <c r="R78" t="str" cm="1">
        <f t="array" ref="R78">_xlfn.IFS(P78="NA","NA",P78&lt;=2,"FAST",P78&gt;2,"SLOW")</f>
        <v>FAST</v>
      </c>
      <c r="S78" t="str">
        <f>_xlfn.XLOOKUP(Orders!C78,'Product Master'!$A$1:$A$23,'Product Master'!$B$1:$B$23)</f>
        <v>Cookware Set Pro</v>
      </c>
    </row>
    <row r="79" spans="1:19" x14ac:dyDescent="0.3">
      <c r="A79" s="1" t="s">
        <v>168</v>
      </c>
      <c r="B79" s="1" t="s">
        <v>153</v>
      </c>
      <c r="C79" s="1" t="s">
        <v>44</v>
      </c>
      <c r="D79" s="1" t="s">
        <v>30</v>
      </c>
      <c r="E79" s="1">
        <v>42</v>
      </c>
      <c r="F79" s="1">
        <v>2</v>
      </c>
      <c r="G79" s="1">
        <v>84</v>
      </c>
      <c r="H79" s="1" t="s">
        <v>13</v>
      </c>
      <c r="I79" s="1" t="s">
        <v>14</v>
      </c>
      <c r="J79" s="1" t="s">
        <v>25</v>
      </c>
      <c r="K79" s="2">
        <v>45263</v>
      </c>
      <c r="L79" s="2"/>
      <c r="M79" s="2">
        <v>45266</v>
      </c>
      <c r="N79" t="str">
        <f t="shared" si="2"/>
        <v>Yes</v>
      </c>
      <c r="O79" t="str">
        <f>_xlfn.XLOOKUP(Orders!C79,'Product Master'!$A$1:$A$23,'Product Master'!$C$1:$C$23)</f>
        <v>Toys</v>
      </c>
      <c r="P79" t="str">
        <f t="shared" si="3"/>
        <v>NA</v>
      </c>
      <c r="Q79" t="str">
        <f>_xlfn.XLOOKUP(B79,'Customer Master'!$A$1:$A$50,'Customer Master'!$B$1:$B$50)</f>
        <v>Noah Wilson</v>
      </c>
      <c r="R79" t="str" cm="1">
        <f t="array" ref="R79">_xlfn.IFS(P79="NA","NA",P79&lt;=2,"FAST",P79&gt;2,"SLOW")</f>
        <v>NA</v>
      </c>
      <c r="S79" t="str">
        <f>_xlfn.XLOOKUP(Orders!C79,'Product Master'!$A$1:$A$23,'Product Master'!$B$1:$B$23)</f>
        <v>Action Figure</v>
      </c>
    </row>
    <row r="80" spans="1:19" x14ac:dyDescent="0.3">
      <c r="A80" s="1" t="s">
        <v>169</v>
      </c>
      <c r="B80" s="1" t="s">
        <v>153</v>
      </c>
      <c r="C80" s="1" t="s">
        <v>11</v>
      </c>
      <c r="D80" s="1" t="s">
        <v>12</v>
      </c>
      <c r="E80" s="1">
        <v>46</v>
      </c>
      <c r="F80" s="1">
        <v>1</v>
      </c>
      <c r="G80" s="1">
        <v>46</v>
      </c>
      <c r="H80" s="1" t="s">
        <v>28</v>
      </c>
      <c r="I80" s="1" t="s">
        <v>22</v>
      </c>
      <c r="J80" s="1" t="s">
        <v>25</v>
      </c>
      <c r="K80" s="2">
        <v>45017</v>
      </c>
      <c r="L80" s="2"/>
      <c r="M80" s="2"/>
      <c r="N80" t="str">
        <f t="shared" si="2"/>
        <v>No</v>
      </c>
      <c r="O80" t="str">
        <f>_xlfn.XLOOKUP(Orders!C80,'Product Master'!$A$1:$A$23,'Product Master'!$C$1:$C$23)</f>
        <v>Home</v>
      </c>
      <c r="P80" t="str">
        <f t="shared" si="3"/>
        <v>NA</v>
      </c>
      <c r="Q80" t="str">
        <f>_xlfn.XLOOKUP(B80,'Customer Master'!$A$1:$A$50,'Customer Master'!$B$1:$B$50)</f>
        <v>Noah Wilson</v>
      </c>
      <c r="R80" t="str" cm="1">
        <f t="array" ref="R80">_xlfn.IFS(P80="NA","NA",P80&lt;=2,"FAST",P80&gt;2,"SLOW")</f>
        <v>NA</v>
      </c>
      <c r="S80" t="str">
        <f>_xlfn.XLOOKUP(Orders!C80,'Product Master'!$A$1:$A$23,'Product Master'!$B$1:$B$23)</f>
        <v>Lamp</v>
      </c>
    </row>
    <row r="81" spans="1:19" x14ac:dyDescent="0.3">
      <c r="A81" s="1" t="s">
        <v>170</v>
      </c>
      <c r="B81" s="1" t="s">
        <v>113</v>
      </c>
      <c r="C81" s="1" t="s">
        <v>16</v>
      </c>
      <c r="D81" s="1" t="s">
        <v>17</v>
      </c>
      <c r="E81" s="1">
        <v>95</v>
      </c>
      <c r="F81" s="1">
        <v>4</v>
      </c>
      <c r="G81" s="1">
        <v>380</v>
      </c>
      <c r="H81" s="1" t="s">
        <v>18</v>
      </c>
      <c r="I81" s="1" t="s">
        <v>19</v>
      </c>
      <c r="J81" s="1" t="s">
        <v>25</v>
      </c>
      <c r="K81" s="2">
        <v>45215</v>
      </c>
      <c r="L81" s="2">
        <v>45218</v>
      </c>
      <c r="M81" s="2"/>
      <c r="N81" t="str">
        <f t="shared" si="2"/>
        <v>No</v>
      </c>
      <c r="O81" t="str">
        <f>_xlfn.XLOOKUP(Orders!C81,'Product Master'!$A$1:$A$23,'Product Master'!$C$1:$C$23)</f>
        <v>Toys</v>
      </c>
      <c r="P81">
        <f t="shared" si="3"/>
        <v>3</v>
      </c>
      <c r="Q81" t="str">
        <f>_xlfn.XLOOKUP(B81,'Customer Master'!$A$1:$A$50,'Customer Master'!$B$1:$B$50)</f>
        <v>Luke Gray</v>
      </c>
      <c r="R81" t="str" cm="1">
        <f t="array" ref="R81">_xlfn.IFS(P81="NA","NA",P81&lt;=2,"FAST",P81&gt;2,"SLOW")</f>
        <v>SLOW</v>
      </c>
      <c r="S81" t="str">
        <f>_xlfn.XLOOKUP(Orders!C81,'Product Master'!$A$1:$A$23,'Product Master'!$B$1:$B$23)</f>
        <v>Doll House</v>
      </c>
    </row>
    <row r="82" spans="1:19" x14ac:dyDescent="0.3">
      <c r="A82" s="1" t="s">
        <v>171</v>
      </c>
      <c r="B82" s="1" t="s">
        <v>122</v>
      </c>
      <c r="C82" s="1" t="s">
        <v>47</v>
      </c>
      <c r="D82" s="1" t="s">
        <v>33</v>
      </c>
      <c r="E82" s="1">
        <v>174</v>
      </c>
      <c r="F82" s="1">
        <v>2</v>
      </c>
      <c r="G82" s="1">
        <v>348</v>
      </c>
      <c r="H82" s="1" t="s">
        <v>24</v>
      </c>
      <c r="I82" s="1" t="s">
        <v>22</v>
      </c>
      <c r="J82" s="1" t="s">
        <v>25</v>
      </c>
      <c r="K82" s="2">
        <v>45235</v>
      </c>
      <c r="L82" s="2"/>
      <c r="M82" s="2"/>
      <c r="N82" t="str">
        <f t="shared" si="2"/>
        <v>No</v>
      </c>
      <c r="O82" t="str">
        <f>_xlfn.XLOOKUP(Orders!C82,'Product Master'!$A$1:$A$23,'Product Master'!$C$1:$C$23)</f>
        <v>Electronics</v>
      </c>
      <c r="P82" t="str">
        <f t="shared" si="3"/>
        <v>NA</v>
      </c>
      <c r="Q82" t="str">
        <f>_xlfn.XLOOKUP(B82,'Customer Master'!$A$1:$A$50,'Customer Master'!$B$1:$B$50)</f>
        <v>James Miller</v>
      </c>
      <c r="R82" t="str" cm="1">
        <f t="array" ref="R82">_xlfn.IFS(P82="NA","NA",P82&lt;=2,"FAST",P82&gt;2,"SLOW")</f>
        <v>NA</v>
      </c>
      <c r="S82" t="str">
        <f>_xlfn.XLOOKUP(Orders!C82,'Product Master'!$A$1:$A$23,'Product Master'!$B$1:$B$23)</f>
        <v>Headphones</v>
      </c>
    </row>
    <row r="83" spans="1:19" x14ac:dyDescent="0.3">
      <c r="A83" s="1" t="s">
        <v>172</v>
      </c>
      <c r="B83" s="1" t="s">
        <v>73</v>
      </c>
      <c r="C83" s="1" t="s">
        <v>40</v>
      </c>
      <c r="D83" s="1" t="s">
        <v>12</v>
      </c>
      <c r="E83" s="1">
        <v>27</v>
      </c>
      <c r="F83" s="1">
        <v>5</v>
      </c>
      <c r="G83" s="1">
        <v>135</v>
      </c>
      <c r="H83" s="1" t="s">
        <v>18</v>
      </c>
      <c r="I83" s="1" t="s">
        <v>14</v>
      </c>
      <c r="J83" s="1" t="s">
        <v>27</v>
      </c>
      <c r="K83" s="2">
        <v>45092</v>
      </c>
      <c r="L83" s="2"/>
      <c r="M83" s="2">
        <v>45095</v>
      </c>
      <c r="N83" t="str">
        <f t="shared" si="2"/>
        <v>Yes</v>
      </c>
      <c r="O83" t="str">
        <f>_xlfn.XLOOKUP(Orders!C83,'Product Master'!$A$1:$A$23,'Product Master'!$C$1:$C$23)</f>
        <v>Fashion</v>
      </c>
      <c r="P83" t="str">
        <f t="shared" si="3"/>
        <v>NA</v>
      </c>
      <c r="Q83" t="str">
        <f>_xlfn.XLOOKUP(B83,'Customer Master'!$A$1:$A$50,'Customer Master'!$B$1:$B$50)</f>
        <v>Emily Johnson</v>
      </c>
      <c r="R83" t="str" cm="1">
        <f t="array" ref="R83">_xlfn.IFS(P83="NA","NA",P83&lt;=2,"FAST",P83&gt;2,"SLOW")</f>
        <v>NA</v>
      </c>
      <c r="S83" t="str">
        <f>_xlfn.XLOOKUP(Orders!C83,'Product Master'!$A$1:$A$23,'Product Master'!$B$1:$B$23)</f>
        <v>T-Shirt</v>
      </c>
    </row>
    <row r="84" spans="1:19" x14ac:dyDescent="0.3">
      <c r="A84" s="1" t="s">
        <v>173</v>
      </c>
      <c r="B84" s="1" t="s">
        <v>55</v>
      </c>
      <c r="C84" s="1" t="s">
        <v>40</v>
      </c>
      <c r="D84" s="1" t="s">
        <v>21</v>
      </c>
      <c r="E84" s="1">
        <v>27</v>
      </c>
      <c r="F84" s="1">
        <v>4</v>
      </c>
      <c r="G84" s="1">
        <v>108</v>
      </c>
      <c r="H84" s="1" t="s">
        <v>24</v>
      </c>
      <c r="I84" s="1" t="s">
        <v>19</v>
      </c>
      <c r="J84" s="1" t="s">
        <v>23</v>
      </c>
      <c r="K84" s="2">
        <v>45227</v>
      </c>
      <c r="L84" s="2">
        <v>45229</v>
      </c>
      <c r="M84" s="2"/>
      <c r="N84" t="str">
        <f t="shared" si="2"/>
        <v>No</v>
      </c>
      <c r="O84" t="str">
        <f>_xlfn.XLOOKUP(Orders!C84,'Product Master'!$A$1:$A$23,'Product Master'!$C$1:$C$23)</f>
        <v>Fashion</v>
      </c>
      <c r="P84">
        <f t="shared" si="3"/>
        <v>2</v>
      </c>
      <c r="Q84" t="str">
        <f>_xlfn.XLOOKUP(B84,'Customer Master'!$A$1:$A$50,'Customer Master'!$B$1:$B$50)</f>
        <v>Zoe Mitchell</v>
      </c>
      <c r="R84" t="str" cm="1">
        <f t="array" ref="R84">_xlfn.IFS(P84="NA","NA",P84&lt;=2,"FAST",P84&gt;2,"SLOW")</f>
        <v>FAST</v>
      </c>
      <c r="S84" t="str">
        <f>_xlfn.XLOOKUP(Orders!C84,'Product Master'!$A$1:$A$23,'Product Master'!$B$1:$B$23)</f>
        <v>T-Shirt</v>
      </c>
    </row>
    <row r="85" spans="1:19" x14ac:dyDescent="0.3">
      <c r="A85" s="1" t="s">
        <v>174</v>
      </c>
      <c r="B85" s="1" t="s">
        <v>175</v>
      </c>
      <c r="C85" s="1" t="s">
        <v>45</v>
      </c>
      <c r="D85" s="1" t="s">
        <v>21</v>
      </c>
      <c r="E85" s="1">
        <v>65</v>
      </c>
      <c r="F85" s="1">
        <v>2</v>
      </c>
      <c r="G85" s="1">
        <v>130</v>
      </c>
      <c r="H85" s="1" t="s">
        <v>24</v>
      </c>
      <c r="I85" s="1" t="s">
        <v>22</v>
      </c>
      <c r="J85" s="1" t="s">
        <v>15</v>
      </c>
      <c r="K85" s="2">
        <v>45282</v>
      </c>
      <c r="L85" s="2"/>
      <c r="M85" s="2"/>
      <c r="N85" t="str">
        <f t="shared" si="2"/>
        <v>No</v>
      </c>
      <c r="O85" t="str">
        <f>_xlfn.XLOOKUP(Orders!C85,'Product Master'!$A$1:$A$23,'Product Master'!$C$1:$C$23)</f>
        <v>Fashion</v>
      </c>
      <c r="P85" t="str">
        <f t="shared" si="3"/>
        <v>NA</v>
      </c>
      <c r="Q85" t="str">
        <f>_xlfn.XLOOKUP(B85,'Customer Master'!$A$1:$A$50,'Customer Master'!$B$1:$B$50)</f>
        <v>Ava White</v>
      </c>
      <c r="R85" t="str" cm="1">
        <f t="array" ref="R85">_xlfn.IFS(P85="NA","NA",P85&lt;=2,"FAST",P85&gt;2,"SLOW")</f>
        <v>NA</v>
      </c>
      <c r="S85" t="str">
        <f>_xlfn.XLOOKUP(Orders!C85,'Product Master'!$A$1:$A$23,'Product Master'!$B$1:$B$23)</f>
        <v>Backpack</v>
      </c>
    </row>
    <row r="86" spans="1:19" x14ac:dyDescent="0.3">
      <c r="A86" s="1" t="s">
        <v>176</v>
      </c>
      <c r="B86" s="1" t="s">
        <v>75</v>
      </c>
      <c r="C86" s="1" t="s">
        <v>34</v>
      </c>
      <c r="D86" s="1" t="s">
        <v>17</v>
      </c>
      <c r="E86" s="1">
        <v>43</v>
      </c>
      <c r="F86" s="1">
        <v>5</v>
      </c>
      <c r="G86" s="1">
        <v>215</v>
      </c>
      <c r="H86" s="1" t="s">
        <v>31</v>
      </c>
      <c r="I86" s="1" t="s">
        <v>22</v>
      </c>
      <c r="J86" s="1" t="s">
        <v>15</v>
      </c>
      <c r="K86" s="2">
        <v>44992</v>
      </c>
      <c r="L86" s="2"/>
      <c r="M86" s="2"/>
      <c r="N86" t="str">
        <f t="shared" si="2"/>
        <v>No</v>
      </c>
      <c r="O86" t="str">
        <f>_xlfn.XLOOKUP(Orders!C86,'Product Master'!$A$1:$A$23,'Product Master'!$C$1:$C$23)</f>
        <v>Fashion</v>
      </c>
      <c r="P86" t="str">
        <f t="shared" si="3"/>
        <v>NA</v>
      </c>
      <c r="Q86" t="str">
        <f>_xlfn.XLOOKUP(B86,'Customer Master'!$A$1:$A$50,'Customer Master'!$B$1:$B$50)</f>
        <v>Emily Johnson</v>
      </c>
      <c r="R86" t="str" cm="1">
        <f t="array" ref="R86">_xlfn.IFS(P86="NA","NA",P86&lt;=2,"FAST",P86&gt;2,"SLOW")</f>
        <v>NA</v>
      </c>
      <c r="S86" t="str">
        <f>_xlfn.XLOOKUP(Orders!C86,'Product Master'!$A$1:$A$23,'Product Master'!$B$1:$B$23)</f>
        <v>Formal Shirt</v>
      </c>
    </row>
    <row r="87" spans="1:19" x14ac:dyDescent="0.3">
      <c r="A87" s="1" t="s">
        <v>177</v>
      </c>
      <c r="B87" s="1" t="s">
        <v>103</v>
      </c>
      <c r="C87" s="1" t="s">
        <v>48</v>
      </c>
      <c r="D87" s="1" t="s">
        <v>33</v>
      </c>
      <c r="E87" s="1">
        <v>210</v>
      </c>
      <c r="F87" s="1">
        <v>1</v>
      </c>
      <c r="G87" s="1">
        <v>210</v>
      </c>
      <c r="H87" s="1" t="s">
        <v>24</v>
      </c>
      <c r="I87" s="1" t="s">
        <v>22</v>
      </c>
      <c r="J87" s="1" t="s">
        <v>25</v>
      </c>
      <c r="K87" s="2">
        <v>45240</v>
      </c>
      <c r="L87" s="2"/>
      <c r="M87" s="2"/>
      <c r="N87" t="str">
        <f t="shared" si="2"/>
        <v>No</v>
      </c>
      <c r="O87" t="str">
        <f>_xlfn.XLOOKUP(Orders!C87,'Product Master'!$A$1:$A$23,'Product Master'!$C$1:$C$23)</f>
        <v>Home</v>
      </c>
      <c r="P87" t="str">
        <f t="shared" si="3"/>
        <v>NA</v>
      </c>
      <c r="Q87" t="str">
        <f>_xlfn.XLOOKUP(B87,'Customer Master'!$A$1:$A$50,'Customer Master'!$B$1:$B$50)</f>
        <v>Liam Walker</v>
      </c>
      <c r="R87" t="str" cm="1">
        <f t="array" ref="R87">_xlfn.IFS(P87="NA","NA",P87&lt;=2,"FAST",P87&gt;2,"SLOW")</f>
        <v>NA</v>
      </c>
      <c r="S87" t="str">
        <f>_xlfn.XLOOKUP(Orders!C87,'Product Master'!$A$1:$A$23,'Product Master'!$B$1:$B$23)</f>
        <v>Cookware Set Pro</v>
      </c>
    </row>
    <row r="88" spans="1:19" x14ac:dyDescent="0.3">
      <c r="A88" s="1" t="s">
        <v>178</v>
      </c>
      <c r="B88" s="1" t="s">
        <v>179</v>
      </c>
      <c r="C88" s="1" t="s">
        <v>32</v>
      </c>
      <c r="D88" s="1" t="s">
        <v>21</v>
      </c>
      <c r="E88" s="1">
        <v>37</v>
      </c>
      <c r="F88" s="1">
        <v>3</v>
      </c>
      <c r="G88" s="1">
        <v>111</v>
      </c>
      <c r="H88" s="1" t="s">
        <v>18</v>
      </c>
      <c r="I88" s="1" t="s">
        <v>22</v>
      </c>
      <c r="J88" s="1" t="s">
        <v>25</v>
      </c>
      <c r="K88" s="2">
        <v>45252</v>
      </c>
      <c r="L88" s="2"/>
      <c r="M88" s="2"/>
      <c r="N88" t="str">
        <f t="shared" si="2"/>
        <v>No</v>
      </c>
      <c r="O88" t="str">
        <f>_xlfn.XLOOKUP(Orders!C88,'Product Master'!$A$1:$A$23,'Product Master'!$C$1:$C$23)</f>
        <v>Home</v>
      </c>
      <c r="P88" t="str">
        <f t="shared" si="3"/>
        <v>NA</v>
      </c>
      <c r="Q88" t="str">
        <f>_xlfn.XLOOKUP(B88,'Customer Master'!$A$1:$A$50,'Customer Master'!$B$1:$B$50)</f>
        <v>Lily Reed</v>
      </c>
      <c r="R88" t="str" cm="1">
        <f t="array" ref="R88">_xlfn.IFS(P88="NA","NA",P88&lt;=2,"FAST",P88&gt;2,"SLOW")</f>
        <v>NA</v>
      </c>
      <c r="S88" t="str">
        <f>_xlfn.XLOOKUP(Orders!C88,'Product Master'!$A$1:$A$23,'Product Master'!$B$1:$B$23)</f>
        <v>Wall Clock</v>
      </c>
    </row>
    <row r="89" spans="1:19" x14ac:dyDescent="0.3">
      <c r="A89" s="1" t="s">
        <v>180</v>
      </c>
      <c r="B89" s="1" t="s">
        <v>103</v>
      </c>
      <c r="C89" s="1" t="s">
        <v>43</v>
      </c>
      <c r="D89" s="1" t="s">
        <v>21</v>
      </c>
      <c r="E89" s="1">
        <v>788</v>
      </c>
      <c r="F89" s="1">
        <v>4</v>
      </c>
      <c r="G89" s="1">
        <v>3152</v>
      </c>
      <c r="H89" s="1" t="s">
        <v>31</v>
      </c>
      <c r="I89" s="1" t="s">
        <v>22</v>
      </c>
      <c r="J89" s="1" t="s">
        <v>27</v>
      </c>
      <c r="K89" s="2">
        <v>45054</v>
      </c>
      <c r="L89" s="2"/>
      <c r="M89" s="2"/>
      <c r="N89" t="str">
        <f t="shared" si="2"/>
        <v>No</v>
      </c>
      <c r="O89" t="str">
        <f>_xlfn.XLOOKUP(Orders!C89,'Product Master'!$A$1:$A$23,'Product Master'!$C$1:$C$23)</f>
        <v>Electronics</v>
      </c>
      <c r="P89" t="str">
        <f t="shared" si="3"/>
        <v>NA</v>
      </c>
      <c r="Q89" t="str">
        <f>_xlfn.XLOOKUP(B89,'Customer Master'!$A$1:$A$50,'Customer Master'!$B$1:$B$50)</f>
        <v>Liam Walker</v>
      </c>
      <c r="R89" t="str" cm="1">
        <f t="array" ref="R89">_xlfn.IFS(P89="NA","NA",P89&lt;=2,"FAST",P89&gt;2,"SLOW")</f>
        <v>NA</v>
      </c>
      <c r="S89" t="str">
        <f>_xlfn.XLOOKUP(Orders!C89,'Product Master'!$A$1:$A$23,'Product Master'!$B$1:$B$23)</f>
        <v>Smartphone</v>
      </c>
    </row>
    <row r="90" spans="1:19" x14ac:dyDescent="0.3">
      <c r="A90" s="1" t="s">
        <v>181</v>
      </c>
      <c r="B90" s="1" t="s">
        <v>103</v>
      </c>
      <c r="C90" s="1" t="s">
        <v>48</v>
      </c>
      <c r="D90" s="1" t="s">
        <v>33</v>
      </c>
      <c r="E90" s="1">
        <v>217</v>
      </c>
      <c r="F90" s="1">
        <v>5</v>
      </c>
      <c r="G90" s="1">
        <v>1085</v>
      </c>
      <c r="H90" s="1" t="s">
        <v>31</v>
      </c>
      <c r="I90" s="1" t="s">
        <v>22</v>
      </c>
      <c r="J90" s="1" t="s">
        <v>37</v>
      </c>
      <c r="K90" s="2">
        <v>45120</v>
      </c>
      <c r="L90" s="2"/>
      <c r="M90" s="2"/>
      <c r="N90" t="str">
        <f t="shared" si="2"/>
        <v>No</v>
      </c>
      <c r="O90" t="str">
        <f>_xlfn.XLOOKUP(Orders!C90,'Product Master'!$A$1:$A$23,'Product Master'!$C$1:$C$23)</f>
        <v>Home</v>
      </c>
      <c r="P90" t="str">
        <f t="shared" si="3"/>
        <v>NA</v>
      </c>
      <c r="Q90" t="str">
        <f>_xlfn.XLOOKUP(B90,'Customer Master'!$A$1:$A$50,'Customer Master'!$B$1:$B$50)</f>
        <v>Liam Walker</v>
      </c>
      <c r="R90" t="str" cm="1">
        <f t="array" ref="R90">_xlfn.IFS(P90="NA","NA",P90&lt;=2,"FAST",P90&gt;2,"SLOW")</f>
        <v>NA</v>
      </c>
      <c r="S90" t="str">
        <f>_xlfn.XLOOKUP(Orders!C90,'Product Master'!$A$1:$A$23,'Product Master'!$B$1:$B$23)</f>
        <v>Cookware Set Pro</v>
      </c>
    </row>
    <row r="91" spans="1:19" x14ac:dyDescent="0.3">
      <c r="A91" s="1" t="s">
        <v>182</v>
      </c>
      <c r="B91" s="1" t="s">
        <v>103</v>
      </c>
      <c r="C91" s="1" t="s">
        <v>35</v>
      </c>
      <c r="D91" s="1" t="s">
        <v>33</v>
      </c>
      <c r="E91" s="1">
        <v>138</v>
      </c>
      <c r="F91" s="1">
        <v>4</v>
      </c>
      <c r="G91" s="1">
        <v>552</v>
      </c>
      <c r="H91" s="1" t="s">
        <v>18</v>
      </c>
      <c r="I91" s="1" t="s">
        <v>22</v>
      </c>
      <c r="J91" s="1" t="s">
        <v>37</v>
      </c>
      <c r="K91" s="2">
        <v>44944</v>
      </c>
      <c r="L91" s="2"/>
      <c r="M91" s="2"/>
      <c r="N91" t="str">
        <f t="shared" si="2"/>
        <v>No</v>
      </c>
      <c r="O91" t="str">
        <f>_xlfn.XLOOKUP(Orders!C91,'Product Master'!$A$1:$A$23,'Product Master'!$C$1:$C$23)</f>
        <v>Home</v>
      </c>
      <c r="P91" t="str">
        <f t="shared" si="3"/>
        <v>NA</v>
      </c>
      <c r="Q91" t="str">
        <f>_xlfn.XLOOKUP(B91,'Customer Master'!$A$1:$A$50,'Customer Master'!$B$1:$B$50)</f>
        <v>Liam Walker</v>
      </c>
      <c r="R91" t="str" cm="1">
        <f t="array" ref="R91">_xlfn.IFS(P91="NA","NA",P91&lt;=2,"FAST",P91&gt;2,"SLOW")</f>
        <v>NA</v>
      </c>
      <c r="S91" t="str">
        <f>_xlfn.XLOOKUP(Orders!C91,'Product Master'!$A$1:$A$23,'Product Master'!$B$1:$B$23)</f>
        <v>Cookware Set</v>
      </c>
    </row>
    <row r="92" spans="1:19" x14ac:dyDescent="0.3">
      <c r="A92" s="1" t="s">
        <v>183</v>
      </c>
      <c r="B92" s="1" t="s">
        <v>184</v>
      </c>
      <c r="C92" s="1" t="s">
        <v>43</v>
      </c>
      <c r="D92" s="1" t="s">
        <v>30</v>
      </c>
      <c r="E92" s="1">
        <v>803</v>
      </c>
      <c r="F92" s="1">
        <v>2</v>
      </c>
      <c r="G92" s="1">
        <v>1606</v>
      </c>
      <c r="H92" s="1" t="s">
        <v>13</v>
      </c>
      <c r="I92" s="1" t="s">
        <v>19</v>
      </c>
      <c r="J92" s="1" t="s">
        <v>37</v>
      </c>
      <c r="K92" s="2">
        <v>45100</v>
      </c>
      <c r="L92" s="2">
        <v>45106</v>
      </c>
      <c r="M92" s="2"/>
      <c r="N92" t="str">
        <f t="shared" si="2"/>
        <v>No</v>
      </c>
      <c r="O92" t="str">
        <f>_xlfn.XLOOKUP(Orders!C92,'Product Master'!$A$1:$A$23,'Product Master'!$C$1:$C$23)</f>
        <v>Electronics</v>
      </c>
      <c r="P92">
        <f t="shared" si="3"/>
        <v>6</v>
      </c>
      <c r="Q92" t="str">
        <f>_xlfn.XLOOKUP(B92,'Customer Master'!$A$1:$A$50,'Customer Master'!$B$1:$B$50)</f>
        <v>Mason Collins</v>
      </c>
      <c r="R92" t="str" cm="1">
        <f t="array" ref="R92">_xlfn.IFS(P92="NA","NA",P92&lt;=2,"FAST",P92&gt;2,"SLOW")</f>
        <v>SLOW</v>
      </c>
      <c r="S92" t="str">
        <f>_xlfn.XLOOKUP(Orders!C92,'Product Master'!$A$1:$A$23,'Product Master'!$B$1:$B$23)</f>
        <v>Smartphone</v>
      </c>
    </row>
    <row r="93" spans="1:19" x14ac:dyDescent="0.3">
      <c r="A93" s="1" t="s">
        <v>185</v>
      </c>
      <c r="B93" s="1" t="s">
        <v>70</v>
      </c>
      <c r="C93" s="1" t="s">
        <v>36</v>
      </c>
      <c r="D93" s="1" t="s">
        <v>12</v>
      </c>
      <c r="E93" s="1">
        <v>248</v>
      </c>
      <c r="F93" s="1">
        <v>5</v>
      </c>
      <c r="G93" s="1">
        <v>1240</v>
      </c>
      <c r="H93" s="1" t="s">
        <v>24</v>
      </c>
      <c r="I93" s="1" t="s">
        <v>14</v>
      </c>
      <c r="J93" s="1" t="s">
        <v>25</v>
      </c>
      <c r="K93" s="2">
        <v>44978</v>
      </c>
      <c r="L93" s="2"/>
      <c r="M93" s="2">
        <v>44982</v>
      </c>
      <c r="N93" t="str">
        <f t="shared" si="2"/>
        <v>Yes</v>
      </c>
      <c r="O93" t="str">
        <f>_xlfn.XLOOKUP(Orders!C93,'Product Master'!$A$1:$A$23,'Product Master'!$C$1:$C$23)</f>
        <v>Electronics</v>
      </c>
      <c r="P93" t="str">
        <f t="shared" si="3"/>
        <v>NA</v>
      </c>
      <c r="Q93" t="str">
        <f>_xlfn.XLOOKUP(B93,'Customer Master'!$A$1:$A$50,'Customer Master'!$B$1:$B$50)</f>
        <v>Olivia Martinez</v>
      </c>
      <c r="R93" t="str" cm="1">
        <f t="array" ref="R93">_xlfn.IFS(P93="NA","NA",P93&lt;=2,"FAST",P93&gt;2,"SLOW")</f>
        <v>NA</v>
      </c>
      <c r="S93" t="str">
        <f>_xlfn.XLOOKUP(Orders!C93,'Product Master'!$A$1:$A$23,'Product Master'!$B$1:$B$23)</f>
        <v>Smartwatch</v>
      </c>
    </row>
    <row r="94" spans="1:19" x14ac:dyDescent="0.3">
      <c r="A94" s="1" t="s">
        <v>186</v>
      </c>
      <c r="B94" s="1" t="s">
        <v>187</v>
      </c>
      <c r="C94" s="1" t="s">
        <v>48</v>
      </c>
      <c r="D94" s="1" t="s">
        <v>17</v>
      </c>
      <c r="E94" s="1">
        <v>210</v>
      </c>
      <c r="F94" s="1">
        <v>3</v>
      </c>
      <c r="G94" s="1">
        <v>630</v>
      </c>
      <c r="H94" s="1" t="s">
        <v>13</v>
      </c>
      <c r="I94" s="1" t="s">
        <v>19</v>
      </c>
      <c r="J94" s="1" t="s">
        <v>15</v>
      </c>
      <c r="K94" s="2">
        <v>44976</v>
      </c>
      <c r="L94" s="2">
        <v>44978</v>
      </c>
      <c r="M94" s="2"/>
      <c r="N94" t="str">
        <f t="shared" si="2"/>
        <v>No</v>
      </c>
      <c r="O94" t="str">
        <f>_xlfn.XLOOKUP(Orders!C94,'Product Master'!$A$1:$A$23,'Product Master'!$C$1:$C$23)</f>
        <v>Home</v>
      </c>
      <c r="P94">
        <f t="shared" si="3"/>
        <v>2</v>
      </c>
      <c r="Q94" t="str">
        <f>_xlfn.XLOOKUP(B94,'Customer Master'!$A$1:$A$50,'Customer Master'!$B$1:$B$50)</f>
        <v>Ethan Davis</v>
      </c>
      <c r="R94" t="str" cm="1">
        <f t="array" ref="R94">_xlfn.IFS(P94="NA","NA",P94&lt;=2,"FAST",P94&gt;2,"SLOW")</f>
        <v>FAST</v>
      </c>
      <c r="S94" t="str">
        <f>_xlfn.XLOOKUP(Orders!C94,'Product Master'!$A$1:$A$23,'Product Master'!$B$1:$B$23)</f>
        <v>Cookware Set Pro</v>
      </c>
    </row>
    <row r="95" spans="1:19" x14ac:dyDescent="0.3">
      <c r="A95" s="1" t="s">
        <v>188</v>
      </c>
      <c r="B95" s="1" t="s">
        <v>70</v>
      </c>
      <c r="C95" s="1" t="s">
        <v>50</v>
      </c>
      <c r="D95" s="1" t="s">
        <v>12</v>
      </c>
      <c r="E95" s="1">
        <v>62</v>
      </c>
      <c r="F95" s="1">
        <v>2</v>
      </c>
      <c r="G95" s="1">
        <v>124</v>
      </c>
      <c r="H95" s="1" t="s">
        <v>18</v>
      </c>
      <c r="I95" s="1" t="s">
        <v>14</v>
      </c>
      <c r="J95" s="1" t="s">
        <v>37</v>
      </c>
      <c r="K95" s="2">
        <v>45265</v>
      </c>
      <c r="L95" s="2"/>
      <c r="M95" s="2">
        <v>45272</v>
      </c>
      <c r="N95" t="str">
        <f t="shared" si="2"/>
        <v>Yes</v>
      </c>
      <c r="O95" t="str">
        <f>_xlfn.XLOOKUP(Orders!C95,'Product Master'!$A$1:$A$23,'Product Master'!$C$1:$C$23)</f>
        <v>Toys</v>
      </c>
      <c r="P95" t="str">
        <f t="shared" si="3"/>
        <v>NA</v>
      </c>
      <c r="Q95" t="str">
        <f>_xlfn.XLOOKUP(B95,'Customer Master'!$A$1:$A$50,'Customer Master'!$B$1:$B$50)</f>
        <v>Olivia Martinez</v>
      </c>
      <c r="R95" t="str" cm="1">
        <f t="array" ref="R95">_xlfn.IFS(P95="NA","NA",P95&lt;=2,"FAST",P95&gt;2,"SLOW")</f>
        <v>NA</v>
      </c>
      <c r="S95" t="str">
        <f>_xlfn.XLOOKUP(Orders!C95,'Product Master'!$A$1:$A$23,'Product Master'!$B$1:$B$23)</f>
        <v>Leg Set</v>
      </c>
    </row>
    <row r="96" spans="1:19" x14ac:dyDescent="0.3">
      <c r="A96" s="1" t="s">
        <v>189</v>
      </c>
      <c r="B96" s="1" t="s">
        <v>179</v>
      </c>
      <c r="C96" s="1" t="s">
        <v>46</v>
      </c>
      <c r="D96" s="1" t="s">
        <v>21</v>
      </c>
      <c r="E96" s="1">
        <v>11</v>
      </c>
      <c r="F96" s="1">
        <v>5</v>
      </c>
      <c r="G96" s="1">
        <v>55</v>
      </c>
      <c r="H96" s="1" t="s">
        <v>31</v>
      </c>
      <c r="I96" s="1" t="s">
        <v>14</v>
      </c>
      <c r="J96" s="1" t="s">
        <v>27</v>
      </c>
      <c r="K96" s="2">
        <v>45084</v>
      </c>
      <c r="L96" s="2"/>
      <c r="M96" s="2">
        <v>45089</v>
      </c>
      <c r="N96" t="str">
        <f t="shared" si="2"/>
        <v>Yes</v>
      </c>
      <c r="O96" t="str">
        <f>_xlfn.XLOOKUP(Orders!C96,'Product Master'!$A$1:$A$23,'Product Master'!$C$1:$C$23)</f>
        <v>Books</v>
      </c>
      <c r="P96" t="str">
        <f t="shared" si="3"/>
        <v>NA</v>
      </c>
      <c r="Q96" t="str">
        <f>_xlfn.XLOOKUP(B96,'Customer Master'!$A$1:$A$50,'Customer Master'!$B$1:$B$50)</f>
        <v>Lily Reed</v>
      </c>
      <c r="R96" t="str" cm="1">
        <f t="array" ref="R96">_xlfn.IFS(P96="NA","NA",P96&lt;=2,"FAST",P96&gt;2,"SLOW")</f>
        <v>NA</v>
      </c>
      <c r="S96" t="str">
        <f>_xlfn.XLOOKUP(Orders!C96,'Product Master'!$A$1:$A$23,'Product Master'!$B$1:$B$23)</f>
        <v>Magazine</v>
      </c>
    </row>
    <row r="97" spans="1:19" x14ac:dyDescent="0.3">
      <c r="A97" s="1" t="s">
        <v>190</v>
      </c>
      <c r="B97" s="1" t="s">
        <v>140</v>
      </c>
      <c r="C97" s="1" t="s">
        <v>41</v>
      </c>
      <c r="D97" s="1" t="s">
        <v>12</v>
      </c>
      <c r="E97" s="1">
        <v>21</v>
      </c>
      <c r="F97" s="1">
        <v>2</v>
      </c>
      <c r="G97" s="1">
        <v>42</v>
      </c>
      <c r="H97" s="1" t="s">
        <v>28</v>
      </c>
      <c r="I97" s="1" t="s">
        <v>19</v>
      </c>
      <c r="J97" s="1" t="s">
        <v>25</v>
      </c>
      <c r="K97" s="2">
        <v>45116</v>
      </c>
      <c r="L97" s="2">
        <v>45119</v>
      </c>
      <c r="M97" s="2"/>
      <c r="N97" t="str">
        <f t="shared" si="2"/>
        <v>No</v>
      </c>
      <c r="O97" t="str">
        <f>_xlfn.XLOOKUP(Orders!C97,'Product Master'!$A$1:$A$23,'Product Master'!$C$1:$C$23)</f>
        <v>Books</v>
      </c>
      <c r="P97">
        <f t="shared" si="3"/>
        <v>3</v>
      </c>
      <c r="Q97" t="str">
        <f>_xlfn.XLOOKUP(B97,'Customer Master'!$A$1:$A$50,'Customer Master'!$B$1:$B$50)</f>
        <v>Emma King</v>
      </c>
      <c r="R97" t="str" cm="1">
        <f t="array" ref="R97">_xlfn.IFS(P97="NA","NA",P97&lt;=2,"FAST",P97&gt;2,"SLOW")</f>
        <v>SLOW</v>
      </c>
      <c r="S97" t="str">
        <f>_xlfn.XLOOKUP(Orders!C97,'Product Master'!$A$1:$A$23,'Product Master'!$B$1:$B$23)</f>
        <v>Novel</v>
      </c>
    </row>
    <row r="98" spans="1:19" x14ac:dyDescent="0.3">
      <c r="A98" s="1" t="s">
        <v>191</v>
      </c>
      <c r="B98" s="1" t="s">
        <v>77</v>
      </c>
      <c r="C98" s="1" t="s">
        <v>16</v>
      </c>
      <c r="D98" s="1" t="s">
        <v>33</v>
      </c>
      <c r="E98" s="1">
        <v>95</v>
      </c>
      <c r="F98" s="1">
        <v>5</v>
      </c>
      <c r="G98" s="1">
        <v>475</v>
      </c>
      <c r="H98" s="1" t="s">
        <v>28</v>
      </c>
      <c r="I98" s="1" t="s">
        <v>19</v>
      </c>
      <c r="J98" s="1" t="s">
        <v>27</v>
      </c>
      <c r="K98" s="2">
        <v>45283</v>
      </c>
      <c r="L98" s="2">
        <v>45286</v>
      </c>
      <c r="M98" s="2"/>
      <c r="N98" t="str">
        <f t="shared" si="2"/>
        <v>No</v>
      </c>
      <c r="O98" t="str">
        <f>_xlfn.XLOOKUP(Orders!C98,'Product Master'!$A$1:$A$23,'Product Master'!$C$1:$C$23)</f>
        <v>Toys</v>
      </c>
      <c r="P98">
        <f t="shared" si="3"/>
        <v>3</v>
      </c>
      <c r="Q98" t="str">
        <f>_xlfn.XLOOKUP(B98,'Customer Master'!$A$1:$A$50,'Customer Master'!$B$1:$B$50)</f>
        <v>Charlotte Reed</v>
      </c>
      <c r="R98" t="str" cm="1">
        <f t="array" ref="R98">_xlfn.IFS(P98="NA","NA",P98&lt;=2,"FAST",P98&gt;2,"SLOW")</f>
        <v>SLOW</v>
      </c>
      <c r="S98" t="str">
        <f>_xlfn.XLOOKUP(Orders!C98,'Product Master'!$A$1:$A$23,'Product Master'!$B$1:$B$23)</f>
        <v>Doll House</v>
      </c>
    </row>
    <row r="99" spans="1:19" x14ac:dyDescent="0.3">
      <c r="A99" s="1" t="s">
        <v>192</v>
      </c>
      <c r="B99" s="1" t="s">
        <v>60</v>
      </c>
      <c r="C99" s="1" t="s">
        <v>48</v>
      </c>
      <c r="D99" s="1" t="s">
        <v>21</v>
      </c>
      <c r="E99" s="1">
        <v>215</v>
      </c>
      <c r="F99" s="1">
        <v>2</v>
      </c>
      <c r="G99" s="1">
        <v>430</v>
      </c>
      <c r="H99" s="1" t="s">
        <v>24</v>
      </c>
      <c r="I99" s="1" t="s">
        <v>19</v>
      </c>
      <c r="J99" s="1" t="s">
        <v>27</v>
      </c>
      <c r="K99" s="2">
        <v>45194</v>
      </c>
      <c r="L99" s="2">
        <v>45199</v>
      </c>
      <c r="M99" s="2"/>
      <c r="N99" t="str">
        <f t="shared" si="2"/>
        <v>No</v>
      </c>
      <c r="O99" t="str">
        <f>_xlfn.XLOOKUP(Orders!C99,'Product Master'!$A$1:$A$23,'Product Master'!$C$1:$C$23)</f>
        <v>Home</v>
      </c>
      <c r="P99">
        <f t="shared" si="3"/>
        <v>5</v>
      </c>
      <c r="Q99" t="str">
        <f>_xlfn.XLOOKUP(B99,'Customer Master'!$A$1:$A$50,'Customer Master'!$B$1:$B$50)</f>
        <v>Grace Ward</v>
      </c>
      <c r="R99" t="str" cm="1">
        <f t="array" ref="R99">_xlfn.IFS(P99="NA","NA",P99&lt;=2,"FAST",P99&gt;2,"SLOW")</f>
        <v>SLOW</v>
      </c>
      <c r="S99" t="str">
        <f>_xlfn.XLOOKUP(Orders!C99,'Product Master'!$A$1:$A$23,'Product Master'!$B$1:$B$23)</f>
        <v>Cookware Set Pro</v>
      </c>
    </row>
    <row r="100" spans="1:19" x14ac:dyDescent="0.3">
      <c r="A100" s="1" t="s">
        <v>193</v>
      </c>
      <c r="B100" s="1" t="s">
        <v>194</v>
      </c>
      <c r="C100" s="1" t="s">
        <v>34</v>
      </c>
      <c r="D100" s="1" t="s">
        <v>33</v>
      </c>
      <c r="E100" s="1">
        <v>43</v>
      </c>
      <c r="F100" s="1">
        <v>5</v>
      </c>
      <c r="G100" s="1">
        <v>215</v>
      </c>
      <c r="H100" s="1" t="s">
        <v>18</v>
      </c>
      <c r="I100" s="1" t="s">
        <v>14</v>
      </c>
      <c r="J100" s="1" t="s">
        <v>25</v>
      </c>
      <c r="K100" s="2">
        <v>44944</v>
      </c>
      <c r="L100" s="2"/>
      <c r="M100" s="2">
        <v>44950</v>
      </c>
      <c r="N100" t="str">
        <f t="shared" si="2"/>
        <v>Yes</v>
      </c>
      <c r="O100" t="str">
        <f>_xlfn.XLOOKUP(Orders!C100,'Product Master'!$A$1:$A$23,'Product Master'!$C$1:$C$23)</f>
        <v>Fashion</v>
      </c>
      <c r="P100" t="str">
        <f t="shared" si="3"/>
        <v>NA</v>
      </c>
      <c r="Q100" t="str">
        <f>_xlfn.XLOOKUP(B100,'Customer Master'!$A$1:$A$50,'Customer Master'!$B$1:$B$50)</f>
        <v>Lily Simmons</v>
      </c>
      <c r="R100" t="str" cm="1">
        <f t="array" ref="R100">_xlfn.IFS(P100="NA","NA",P100&lt;=2,"FAST",P100&gt;2,"SLOW")</f>
        <v>NA</v>
      </c>
      <c r="S100" t="str">
        <f>_xlfn.XLOOKUP(Orders!C100,'Product Master'!$A$1:$A$23,'Product Master'!$B$1:$B$23)</f>
        <v>Formal Shirt</v>
      </c>
    </row>
    <row r="101" spans="1:19" x14ac:dyDescent="0.3">
      <c r="A101" s="1" t="s">
        <v>195</v>
      </c>
      <c r="B101" s="1" t="s">
        <v>64</v>
      </c>
      <c r="C101" s="1" t="s">
        <v>44</v>
      </c>
      <c r="D101" s="1" t="s">
        <v>33</v>
      </c>
      <c r="E101" s="1">
        <v>42</v>
      </c>
      <c r="F101" s="1">
        <v>4</v>
      </c>
      <c r="G101" s="1">
        <v>168</v>
      </c>
      <c r="H101" s="1" t="s">
        <v>31</v>
      </c>
      <c r="I101" s="1" t="s">
        <v>22</v>
      </c>
      <c r="J101" s="1" t="s">
        <v>15</v>
      </c>
      <c r="K101" s="2">
        <v>45012</v>
      </c>
      <c r="L101" s="2"/>
      <c r="M101" s="2"/>
      <c r="N101" t="str">
        <f t="shared" si="2"/>
        <v>No</v>
      </c>
      <c r="O101" t="str">
        <f>_xlfn.XLOOKUP(Orders!C101,'Product Master'!$A$1:$A$23,'Product Master'!$C$1:$C$23)</f>
        <v>Toys</v>
      </c>
      <c r="P101" t="str">
        <f t="shared" si="3"/>
        <v>NA</v>
      </c>
      <c r="Q101" t="str">
        <f>_xlfn.XLOOKUP(B101,'Customer Master'!$A$1:$A$50,'Customer Master'!$B$1:$B$50)</f>
        <v>Jackson Allen</v>
      </c>
      <c r="R101" t="str" cm="1">
        <f t="array" ref="R101">_xlfn.IFS(P101="NA","NA",P101&lt;=2,"FAST",P101&gt;2,"SLOW")</f>
        <v>NA</v>
      </c>
      <c r="S101" t="str">
        <f>_xlfn.XLOOKUP(Orders!C101,'Product Master'!$A$1:$A$23,'Product Master'!$B$1:$B$23)</f>
        <v>Action Figure</v>
      </c>
    </row>
  </sheetData>
  <conditionalFormatting sqref="D1:D101">
    <cfRule type="expression" dxfId="864" priority="1">
      <formula>G1:G101&gt;=1000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R28" sqref="R28"/>
    </sheetView>
  </sheetViews>
  <sheetFormatPr defaultRowHeight="14.4" x14ac:dyDescent="0.3"/>
  <cols>
    <col min="1" max="1" width="9.88671875" style="6" bestFit="1" customWidth="1"/>
    <col min="2" max="2" width="16.109375" style="6" bestFit="1" customWidth="1"/>
    <col min="3" max="3" width="9.88671875" style="6" bestFit="1" customWidth="1"/>
    <col min="4" max="4" width="9.21875" style="6" bestFit="1" customWidth="1"/>
    <col min="5" max="5" width="46.6640625" style="6" bestFit="1" customWidth="1"/>
    <col min="6" max="16384" width="8.88671875" style="6"/>
  </cols>
  <sheetData>
    <row r="1" spans="1:5" x14ac:dyDescent="0.3">
      <c r="A1" s="4" t="s">
        <v>0</v>
      </c>
      <c r="B1" s="4" t="s">
        <v>53</v>
      </c>
      <c r="C1" s="4" t="s">
        <v>196</v>
      </c>
      <c r="D1" s="5" t="s">
        <v>197</v>
      </c>
      <c r="E1" s="4" t="s">
        <v>198</v>
      </c>
    </row>
    <row r="2" spans="1:5" x14ac:dyDescent="0.3">
      <c r="A2" s="7" t="s">
        <v>43</v>
      </c>
      <c r="B2" s="7" t="s">
        <v>199</v>
      </c>
      <c r="C2" s="7" t="s">
        <v>200</v>
      </c>
      <c r="D2" s="8">
        <v>749</v>
      </c>
      <c r="E2" s="7" t="s">
        <v>201</v>
      </c>
    </row>
    <row r="3" spans="1:5" x14ac:dyDescent="0.3">
      <c r="A3" s="7" t="s">
        <v>44</v>
      </c>
      <c r="B3" s="7" t="s">
        <v>202</v>
      </c>
      <c r="C3" s="7" t="s">
        <v>203</v>
      </c>
      <c r="D3" s="8">
        <v>39</v>
      </c>
      <c r="E3" s="7" t="s">
        <v>204</v>
      </c>
    </row>
    <row r="4" spans="1:5" x14ac:dyDescent="0.3">
      <c r="A4" s="7" t="s">
        <v>35</v>
      </c>
      <c r="B4" s="7" t="s">
        <v>205</v>
      </c>
      <c r="C4" s="7" t="s">
        <v>206</v>
      </c>
      <c r="D4" s="8">
        <v>129</v>
      </c>
      <c r="E4" s="7" t="s">
        <v>207</v>
      </c>
    </row>
    <row r="5" spans="1:5" x14ac:dyDescent="0.3">
      <c r="A5" s="7" t="s">
        <v>50</v>
      </c>
      <c r="B5" s="7" t="s">
        <v>208</v>
      </c>
      <c r="C5" s="7" t="s">
        <v>203</v>
      </c>
      <c r="D5" s="8">
        <v>59</v>
      </c>
      <c r="E5" s="7" t="s">
        <v>209</v>
      </c>
    </row>
    <row r="6" spans="1:5" x14ac:dyDescent="0.3">
      <c r="A6" s="7" t="s">
        <v>40</v>
      </c>
      <c r="B6" s="7" t="s">
        <v>210</v>
      </c>
      <c r="C6" s="7" t="s">
        <v>211</v>
      </c>
      <c r="D6" s="8">
        <v>25</v>
      </c>
      <c r="E6" s="7" t="s">
        <v>212</v>
      </c>
    </row>
    <row r="7" spans="1:5" x14ac:dyDescent="0.3">
      <c r="A7" s="7" t="s">
        <v>38</v>
      </c>
      <c r="B7" s="7" t="s">
        <v>213</v>
      </c>
      <c r="C7" s="7" t="s">
        <v>211</v>
      </c>
      <c r="D7" s="8">
        <v>89</v>
      </c>
      <c r="E7" s="7" t="s">
        <v>214</v>
      </c>
    </row>
    <row r="8" spans="1:5" x14ac:dyDescent="0.3">
      <c r="A8" s="7" t="s">
        <v>49</v>
      </c>
      <c r="B8" s="7" t="s">
        <v>215</v>
      </c>
      <c r="C8" s="7" t="s">
        <v>203</v>
      </c>
      <c r="D8" s="8">
        <v>29</v>
      </c>
      <c r="E8" s="7" t="s">
        <v>216</v>
      </c>
    </row>
    <row r="9" spans="1:5" x14ac:dyDescent="0.3">
      <c r="A9" s="7" t="s">
        <v>42</v>
      </c>
      <c r="B9" s="7" t="s">
        <v>217</v>
      </c>
      <c r="C9" s="7" t="s">
        <v>218</v>
      </c>
      <c r="D9" s="8">
        <v>65</v>
      </c>
      <c r="E9" s="7" t="s">
        <v>219</v>
      </c>
    </row>
    <row r="10" spans="1:5" x14ac:dyDescent="0.3">
      <c r="A10" s="7" t="s">
        <v>46</v>
      </c>
      <c r="B10" s="7" t="s">
        <v>220</v>
      </c>
      <c r="C10" s="7" t="s">
        <v>218</v>
      </c>
      <c r="D10" s="8">
        <v>10</v>
      </c>
      <c r="E10" s="7" t="s">
        <v>221</v>
      </c>
    </row>
    <row r="11" spans="1:5" x14ac:dyDescent="0.3">
      <c r="A11" s="7" t="s">
        <v>26</v>
      </c>
      <c r="B11" s="7" t="s">
        <v>222</v>
      </c>
      <c r="C11" s="7" t="s">
        <v>211</v>
      </c>
      <c r="D11" s="8">
        <v>55</v>
      </c>
      <c r="E11" s="7" t="s">
        <v>223</v>
      </c>
    </row>
    <row r="12" spans="1:5" x14ac:dyDescent="0.3">
      <c r="A12" s="7" t="s">
        <v>47</v>
      </c>
      <c r="B12" s="7" t="s">
        <v>224</v>
      </c>
      <c r="C12" s="7" t="s">
        <v>200</v>
      </c>
      <c r="D12" s="8">
        <v>159</v>
      </c>
      <c r="E12" s="7" t="s">
        <v>225</v>
      </c>
    </row>
    <row r="13" spans="1:5" x14ac:dyDescent="0.3">
      <c r="A13" s="7" t="s">
        <v>11</v>
      </c>
      <c r="B13" s="7" t="s">
        <v>226</v>
      </c>
      <c r="C13" s="7" t="s">
        <v>206</v>
      </c>
      <c r="D13" s="8">
        <v>42</v>
      </c>
      <c r="E13" s="7" t="s">
        <v>227</v>
      </c>
    </row>
    <row r="14" spans="1:5" x14ac:dyDescent="0.3">
      <c r="A14" s="7" t="s">
        <v>20</v>
      </c>
      <c r="B14" s="7" t="s">
        <v>228</v>
      </c>
      <c r="C14" s="7" t="s">
        <v>206</v>
      </c>
      <c r="D14" s="8">
        <v>185</v>
      </c>
      <c r="E14" s="7" t="s">
        <v>229</v>
      </c>
    </row>
    <row r="15" spans="1:5" x14ac:dyDescent="0.3">
      <c r="A15" s="7" t="s">
        <v>36</v>
      </c>
      <c r="B15" s="7" t="s">
        <v>230</v>
      </c>
      <c r="C15" s="7" t="s">
        <v>200</v>
      </c>
      <c r="D15" s="8">
        <v>229</v>
      </c>
      <c r="E15" s="7" t="s">
        <v>231</v>
      </c>
    </row>
    <row r="16" spans="1:5" x14ac:dyDescent="0.3">
      <c r="A16" s="7" t="s">
        <v>41</v>
      </c>
      <c r="B16" s="7" t="s">
        <v>232</v>
      </c>
      <c r="C16" s="7" t="s">
        <v>218</v>
      </c>
      <c r="D16" s="8">
        <v>20</v>
      </c>
      <c r="E16" s="7" t="s">
        <v>233</v>
      </c>
    </row>
    <row r="17" spans="1:5" x14ac:dyDescent="0.3">
      <c r="A17" s="7" t="s">
        <v>48</v>
      </c>
      <c r="B17" s="7" t="s">
        <v>234</v>
      </c>
      <c r="C17" s="7" t="s">
        <v>206</v>
      </c>
      <c r="D17" s="8">
        <v>199</v>
      </c>
      <c r="E17" s="7" t="s">
        <v>235</v>
      </c>
    </row>
    <row r="18" spans="1:5" x14ac:dyDescent="0.3">
      <c r="A18" s="7" t="s">
        <v>39</v>
      </c>
      <c r="B18" s="7" t="s">
        <v>236</v>
      </c>
      <c r="C18" s="7" t="s">
        <v>200</v>
      </c>
      <c r="D18" s="8">
        <v>69</v>
      </c>
      <c r="E18" s="7" t="s">
        <v>237</v>
      </c>
    </row>
    <row r="19" spans="1:5" x14ac:dyDescent="0.3">
      <c r="A19" s="7" t="s">
        <v>16</v>
      </c>
      <c r="B19" s="7" t="s">
        <v>238</v>
      </c>
      <c r="C19" s="7" t="s">
        <v>203</v>
      </c>
      <c r="D19" s="8">
        <v>89</v>
      </c>
      <c r="E19" s="7" t="s">
        <v>239</v>
      </c>
    </row>
    <row r="20" spans="1:5" x14ac:dyDescent="0.3">
      <c r="A20" s="7" t="s">
        <v>34</v>
      </c>
      <c r="B20" s="7" t="s">
        <v>240</v>
      </c>
      <c r="C20" s="7" t="s">
        <v>211</v>
      </c>
      <c r="D20" s="8">
        <v>40</v>
      </c>
      <c r="E20" s="7" t="s">
        <v>241</v>
      </c>
    </row>
    <row r="21" spans="1:5" x14ac:dyDescent="0.3">
      <c r="A21" s="7" t="s">
        <v>29</v>
      </c>
      <c r="B21" s="7" t="s">
        <v>242</v>
      </c>
      <c r="C21" s="7" t="s">
        <v>200</v>
      </c>
      <c r="D21" s="8">
        <v>99</v>
      </c>
      <c r="E21" s="7" t="s">
        <v>243</v>
      </c>
    </row>
    <row r="22" spans="1:5" x14ac:dyDescent="0.3">
      <c r="A22" s="7" t="s">
        <v>32</v>
      </c>
      <c r="B22" s="7" t="s">
        <v>244</v>
      </c>
      <c r="C22" s="7" t="s">
        <v>206</v>
      </c>
      <c r="D22" s="8">
        <v>34</v>
      </c>
      <c r="E22" s="7" t="s">
        <v>245</v>
      </c>
    </row>
    <row r="23" spans="1:5" x14ac:dyDescent="0.3">
      <c r="A23" s="7" t="s">
        <v>45</v>
      </c>
      <c r="B23" s="7" t="s">
        <v>246</v>
      </c>
      <c r="C23" s="7" t="s">
        <v>211</v>
      </c>
      <c r="D23" s="8">
        <v>60</v>
      </c>
      <c r="E23" s="7"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W28" sqref="W28"/>
    </sheetView>
  </sheetViews>
  <sheetFormatPr defaultRowHeight="14.4" x14ac:dyDescent="0.3"/>
  <cols>
    <col min="1" max="1" width="6.88671875" bestFit="1" customWidth="1"/>
    <col min="2" max="2" width="11" bestFit="1" customWidth="1"/>
  </cols>
  <sheetData>
    <row r="1" spans="1:2" x14ac:dyDescent="0.3">
      <c r="A1" s="4" t="s">
        <v>1</v>
      </c>
      <c r="B1" s="4" t="s">
        <v>248</v>
      </c>
    </row>
    <row r="2" spans="1:2" x14ac:dyDescent="0.3">
      <c r="A2" s="7" t="s">
        <v>30</v>
      </c>
      <c r="B2" s="9">
        <v>97500</v>
      </c>
    </row>
    <row r="3" spans="1:2" x14ac:dyDescent="0.3">
      <c r="A3" s="7" t="s">
        <v>17</v>
      </c>
      <c r="B3" s="9">
        <v>50500</v>
      </c>
    </row>
    <row r="4" spans="1:2" x14ac:dyDescent="0.3">
      <c r="A4" s="7" t="s">
        <v>12</v>
      </c>
      <c r="B4" s="9">
        <v>105000</v>
      </c>
    </row>
    <row r="5" spans="1:2" x14ac:dyDescent="0.3">
      <c r="A5" s="7" t="s">
        <v>21</v>
      </c>
      <c r="B5" s="9">
        <v>91500</v>
      </c>
    </row>
    <row r="6" spans="1:2" x14ac:dyDescent="0.3">
      <c r="A6" s="7" t="s">
        <v>33</v>
      </c>
      <c r="B6" s="9">
        <v>90750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I12" sqref="I12"/>
    </sheetView>
  </sheetViews>
  <sheetFormatPr defaultRowHeight="14.4" x14ac:dyDescent="0.3"/>
  <cols>
    <col min="1" max="1" width="11.33203125" style="6" bestFit="1" customWidth="1"/>
    <col min="2" max="2" width="14.6640625" style="6" bestFit="1" customWidth="1"/>
    <col min="3" max="3" width="13.77734375" style="6" bestFit="1" customWidth="1"/>
    <col min="4" max="4" width="12" style="6" bestFit="1" customWidth="1"/>
    <col min="5" max="5" width="10.6640625" style="6" bestFit="1" customWidth="1"/>
    <col min="6" max="16384" width="8.88671875" style="6"/>
  </cols>
  <sheetData>
    <row r="1" spans="1:5" x14ac:dyDescent="0.3">
      <c r="A1" s="4" t="s">
        <v>52</v>
      </c>
      <c r="B1" s="4" t="s">
        <v>249</v>
      </c>
      <c r="C1" s="4" t="s">
        <v>250</v>
      </c>
      <c r="D1" s="4" t="s">
        <v>251</v>
      </c>
      <c r="E1" s="4" t="s">
        <v>252</v>
      </c>
    </row>
    <row r="2" spans="1:5" x14ac:dyDescent="0.3">
      <c r="A2" s="7" t="s">
        <v>122</v>
      </c>
      <c r="B2" s="7" t="s">
        <v>253</v>
      </c>
      <c r="C2" s="7" t="s">
        <v>254</v>
      </c>
      <c r="D2" s="7" t="s">
        <v>255</v>
      </c>
      <c r="E2" s="7" t="s">
        <v>255</v>
      </c>
    </row>
    <row r="3" spans="1:5" x14ac:dyDescent="0.3">
      <c r="A3" s="7" t="s">
        <v>256</v>
      </c>
      <c r="B3" s="7" t="s">
        <v>257</v>
      </c>
      <c r="C3" s="7" t="s">
        <v>258</v>
      </c>
      <c r="D3" s="7" t="s">
        <v>259</v>
      </c>
      <c r="E3" s="7" t="s">
        <v>260</v>
      </c>
    </row>
    <row r="4" spans="1:5" x14ac:dyDescent="0.3">
      <c r="A4" s="7" t="s">
        <v>144</v>
      </c>
      <c r="B4" s="7" t="s">
        <v>261</v>
      </c>
      <c r="C4" s="7" t="s">
        <v>258</v>
      </c>
      <c r="D4" s="7" t="s">
        <v>262</v>
      </c>
      <c r="E4" s="7" t="s">
        <v>263</v>
      </c>
    </row>
    <row r="5" spans="1:5" x14ac:dyDescent="0.3">
      <c r="A5" s="7" t="s">
        <v>151</v>
      </c>
      <c r="B5" s="7" t="s">
        <v>264</v>
      </c>
      <c r="C5" s="7" t="s">
        <v>258</v>
      </c>
      <c r="D5" s="7" t="s">
        <v>265</v>
      </c>
      <c r="E5" s="7" t="s">
        <v>266</v>
      </c>
    </row>
    <row r="6" spans="1:5" x14ac:dyDescent="0.3">
      <c r="A6" s="7" t="s">
        <v>267</v>
      </c>
      <c r="B6" s="7" t="s">
        <v>268</v>
      </c>
      <c r="C6" s="7" t="s">
        <v>258</v>
      </c>
      <c r="D6" s="7" t="s">
        <v>259</v>
      </c>
      <c r="E6" s="7" t="s">
        <v>260</v>
      </c>
    </row>
    <row r="7" spans="1:5" x14ac:dyDescent="0.3">
      <c r="A7" s="7" t="s">
        <v>120</v>
      </c>
      <c r="B7" s="7" t="s">
        <v>269</v>
      </c>
      <c r="C7" s="7" t="s">
        <v>258</v>
      </c>
      <c r="D7" s="7" t="s">
        <v>270</v>
      </c>
      <c r="E7" s="7" t="s">
        <v>271</v>
      </c>
    </row>
    <row r="8" spans="1:5" x14ac:dyDescent="0.3">
      <c r="A8" s="7" t="s">
        <v>103</v>
      </c>
      <c r="B8" s="7" t="s">
        <v>272</v>
      </c>
      <c r="C8" s="7" t="s">
        <v>258</v>
      </c>
      <c r="D8" s="7" t="s">
        <v>265</v>
      </c>
      <c r="E8" s="7" t="s">
        <v>266</v>
      </c>
    </row>
    <row r="9" spans="1:5" x14ac:dyDescent="0.3">
      <c r="A9" s="7" t="s">
        <v>105</v>
      </c>
      <c r="B9" s="7" t="s">
        <v>273</v>
      </c>
      <c r="C9" s="7" t="s">
        <v>254</v>
      </c>
      <c r="D9" s="7" t="s">
        <v>274</v>
      </c>
      <c r="E9" s="7" t="s">
        <v>263</v>
      </c>
    </row>
    <row r="10" spans="1:5" x14ac:dyDescent="0.3">
      <c r="A10" s="7" t="s">
        <v>64</v>
      </c>
      <c r="B10" s="7" t="s">
        <v>275</v>
      </c>
      <c r="C10" s="7" t="s">
        <v>254</v>
      </c>
      <c r="D10" s="7" t="s">
        <v>259</v>
      </c>
      <c r="E10" s="7" t="s">
        <v>260</v>
      </c>
    </row>
    <row r="11" spans="1:5" x14ac:dyDescent="0.3">
      <c r="A11" s="7" t="s">
        <v>276</v>
      </c>
      <c r="B11" s="7" t="s">
        <v>277</v>
      </c>
      <c r="C11" s="7" t="s">
        <v>258</v>
      </c>
      <c r="D11" s="7" t="s">
        <v>270</v>
      </c>
      <c r="E11" s="7" t="s">
        <v>271</v>
      </c>
    </row>
    <row r="12" spans="1:5" x14ac:dyDescent="0.3">
      <c r="A12" s="7" t="s">
        <v>85</v>
      </c>
      <c r="B12" s="7" t="s">
        <v>278</v>
      </c>
      <c r="C12" s="7" t="s">
        <v>254</v>
      </c>
      <c r="D12" s="7" t="s">
        <v>279</v>
      </c>
      <c r="E12" s="7" t="s">
        <v>280</v>
      </c>
    </row>
    <row r="13" spans="1:5" x14ac:dyDescent="0.3">
      <c r="A13" s="7" t="s">
        <v>281</v>
      </c>
      <c r="B13" s="7" t="s">
        <v>253</v>
      </c>
      <c r="C13" s="7" t="s">
        <v>282</v>
      </c>
      <c r="D13" s="7" t="s">
        <v>283</v>
      </c>
      <c r="E13" s="7" t="s">
        <v>284</v>
      </c>
    </row>
    <row r="14" spans="1:5" x14ac:dyDescent="0.3">
      <c r="A14" s="7" t="s">
        <v>70</v>
      </c>
      <c r="B14" s="7" t="s">
        <v>268</v>
      </c>
      <c r="C14" s="7" t="s">
        <v>258</v>
      </c>
      <c r="D14" s="7" t="s">
        <v>259</v>
      </c>
      <c r="E14" s="7" t="s">
        <v>260</v>
      </c>
    </row>
    <row r="15" spans="1:5" x14ac:dyDescent="0.3">
      <c r="A15" s="7" t="s">
        <v>107</v>
      </c>
      <c r="B15" s="7" t="s">
        <v>273</v>
      </c>
      <c r="C15" s="7" t="s">
        <v>282</v>
      </c>
      <c r="D15" s="7" t="s">
        <v>270</v>
      </c>
      <c r="E15" s="7" t="s">
        <v>271</v>
      </c>
    </row>
    <row r="16" spans="1:5" x14ac:dyDescent="0.3">
      <c r="A16" s="7" t="s">
        <v>175</v>
      </c>
      <c r="B16" s="7" t="s">
        <v>285</v>
      </c>
      <c r="C16" s="7" t="s">
        <v>282</v>
      </c>
      <c r="D16" s="7" t="s">
        <v>283</v>
      </c>
      <c r="E16" s="7" t="s">
        <v>284</v>
      </c>
    </row>
    <row r="17" spans="1:5" x14ac:dyDescent="0.3">
      <c r="A17" s="7" t="s">
        <v>93</v>
      </c>
      <c r="B17" s="7" t="s">
        <v>286</v>
      </c>
      <c r="C17" s="7" t="s">
        <v>258</v>
      </c>
      <c r="D17" s="7" t="s">
        <v>283</v>
      </c>
      <c r="E17" s="7" t="s">
        <v>284</v>
      </c>
    </row>
    <row r="18" spans="1:5" x14ac:dyDescent="0.3">
      <c r="A18" s="7" t="s">
        <v>140</v>
      </c>
      <c r="B18" s="7" t="s">
        <v>287</v>
      </c>
      <c r="C18" s="7" t="s">
        <v>254</v>
      </c>
      <c r="D18" s="7" t="s">
        <v>262</v>
      </c>
      <c r="E18" s="7" t="s">
        <v>263</v>
      </c>
    </row>
    <row r="19" spans="1:5" x14ac:dyDescent="0.3">
      <c r="A19" s="7" t="s">
        <v>100</v>
      </c>
      <c r="B19" s="7" t="s">
        <v>288</v>
      </c>
      <c r="C19" s="7" t="s">
        <v>282</v>
      </c>
      <c r="D19" s="7" t="s">
        <v>279</v>
      </c>
      <c r="E19" s="7" t="s">
        <v>280</v>
      </c>
    </row>
    <row r="20" spans="1:5" x14ac:dyDescent="0.3">
      <c r="A20" s="7" t="s">
        <v>68</v>
      </c>
      <c r="B20" s="7" t="s">
        <v>269</v>
      </c>
      <c r="C20" s="7" t="s">
        <v>258</v>
      </c>
      <c r="D20" s="7" t="s">
        <v>259</v>
      </c>
      <c r="E20" s="7" t="s">
        <v>260</v>
      </c>
    </row>
    <row r="21" spans="1:5" x14ac:dyDescent="0.3">
      <c r="A21" s="7" t="s">
        <v>289</v>
      </c>
      <c r="B21" s="7" t="s">
        <v>290</v>
      </c>
      <c r="C21" s="7" t="s">
        <v>282</v>
      </c>
      <c r="D21" s="7" t="s">
        <v>270</v>
      </c>
      <c r="E21" s="7" t="s">
        <v>271</v>
      </c>
    </row>
    <row r="22" spans="1:5" x14ac:dyDescent="0.3">
      <c r="A22" s="7" t="s">
        <v>55</v>
      </c>
      <c r="B22" s="7" t="s">
        <v>291</v>
      </c>
      <c r="C22" s="7" t="s">
        <v>282</v>
      </c>
      <c r="D22" s="7" t="s">
        <v>262</v>
      </c>
      <c r="E22" s="7" t="s">
        <v>263</v>
      </c>
    </row>
    <row r="23" spans="1:5" x14ac:dyDescent="0.3">
      <c r="A23" s="7" t="s">
        <v>149</v>
      </c>
      <c r="B23" s="7" t="s">
        <v>286</v>
      </c>
      <c r="C23" s="7" t="s">
        <v>282</v>
      </c>
      <c r="D23" s="7" t="s">
        <v>279</v>
      </c>
      <c r="E23" s="7" t="s">
        <v>280</v>
      </c>
    </row>
    <row r="24" spans="1:5" x14ac:dyDescent="0.3">
      <c r="A24" s="7" t="s">
        <v>77</v>
      </c>
      <c r="B24" s="7" t="s">
        <v>292</v>
      </c>
      <c r="C24" s="7" t="s">
        <v>282</v>
      </c>
      <c r="D24" s="7" t="s">
        <v>262</v>
      </c>
      <c r="E24" s="7" t="s">
        <v>263</v>
      </c>
    </row>
    <row r="25" spans="1:5" x14ac:dyDescent="0.3">
      <c r="A25" s="7" t="s">
        <v>118</v>
      </c>
      <c r="B25" s="7" t="s">
        <v>293</v>
      </c>
      <c r="C25" s="7" t="s">
        <v>254</v>
      </c>
      <c r="D25" s="7" t="s">
        <v>279</v>
      </c>
      <c r="E25" s="7" t="s">
        <v>280</v>
      </c>
    </row>
    <row r="26" spans="1:5" x14ac:dyDescent="0.3">
      <c r="A26" s="7" t="s">
        <v>89</v>
      </c>
      <c r="B26" s="7" t="s">
        <v>287</v>
      </c>
      <c r="C26" s="7" t="s">
        <v>282</v>
      </c>
      <c r="D26" s="7" t="s">
        <v>279</v>
      </c>
      <c r="E26" s="7" t="s">
        <v>280</v>
      </c>
    </row>
    <row r="27" spans="1:5" x14ac:dyDescent="0.3">
      <c r="A27" s="7" t="s">
        <v>132</v>
      </c>
      <c r="B27" s="7" t="s">
        <v>291</v>
      </c>
      <c r="C27" s="7" t="s">
        <v>282</v>
      </c>
      <c r="D27" s="7" t="s">
        <v>259</v>
      </c>
      <c r="E27" s="7" t="s">
        <v>260</v>
      </c>
    </row>
    <row r="28" spans="1:5" x14ac:dyDescent="0.3">
      <c r="A28" s="7" t="s">
        <v>62</v>
      </c>
      <c r="B28" s="7" t="s">
        <v>294</v>
      </c>
      <c r="C28" s="7" t="s">
        <v>282</v>
      </c>
      <c r="D28" s="7" t="s">
        <v>259</v>
      </c>
      <c r="E28" s="7" t="s">
        <v>260</v>
      </c>
    </row>
    <row r="29" spans="1:5" x14ac:dyDescent="0.3">
      <c r="A29" s="7" t="s">
        <v>95</v>
      </c>
      <c r="B29" s="7" t="s">
        <v>295</v>
      </c>
      <c r="C29" s="7" t="s">
        <v>254</v>
      </c>
      <c r="D29" s="7" t="s">
        <v>262</v>
      </c>
      <c r="E29" s="7" t="s">
        <v>263</v>
      </c>
    </row>
    <row r="30" spans="1:5" x14ac:dyDescent="0.3">
      <c r="A30" s="7" t="s">
        <v>57</v>
      </c>
      <c r="B30" s="7" t="s">
        <v>285</v>
      </c>
      <c r="C30" s="7" t="s">
        <v>282</v>
      </c>
      <c r="D30" s="7" t="s">
        <v>279</v>
      </c>
      <c r="E30" s="7" t="s">
        <v>280</v>
      </c>
    </row>
    <row r="31" spans="1:5" x14ac:dyDescent="0.3">
      <c r="A31" s="7" t="s">
        <v>296</v>
      </c>
      <c r="B31" s="7" t="s">
        <v>287</v>
      </c>
      <c r="C31" s="7" t="s">
        <v>282</v>
      </c>
      <c r="D31" s="7" t="s">
        <v>259</v>
      </c>
      <c r="E31" s="7" t="s">
        <v>260</v>
      </c>
    </row>
    <row r="32" spans="1:5" x14ac:dyDescent="0.3">
      <c r="A32" s="7" t="s">
        <v>184</v>
      </c>
      <c r="B32" s="7" t="s">
        <v>297</v>
      </c>
      <c r="C32" s="7" t="s">
        <v>254</v>
      </c>
      <c r="D32" s="7" t="s">
        <v>259</v>
      </c>
      <c r="E32" s="7" t="s">
        <v>260</v>
      </c>
    </row>
    <row r="33" spans="1:5" x14ac:dyDescent="0.3">
      <c r="A33" s="7" t="s">
        <v>113</v>
      </c>
      <c r="B33" s="7" t="s">
        <v>298</v>
      </c>
      <c r="C33" s="7" t="s">
        <v>254</v>
      </c>
      <c r="D33" s="7" t="s">
        <v>262</v>
      </c>
      <c r="E33" s="7" t="s">
        <v>263</v>
      </c>
    </row>
    <row r="34" spans="1:5" x14ac:dyDescent="0.3">
      <c r="A34" s="7" t="s">
        <v>79</v>
      </c>
      <c r="B34" s="7" t="s">
        <v>299</v>
      </c>
      <c r="C34" s="7" t="s">
        <v>254</v>
      </c>
      <c r="D34" s="7" t="s">
        <v>283</v>
      </c>
      <c r="E34" s="7" t="s">
        <v>284</v>
      </c>
    </row>
    <row r="35" spans="1:5" x14ac:dyDescent="0.3">
      <c r="A35" s="7" t="s">
        <v>194</v>
      </c>
      <c r="B35" s="7" t="s">
        <v>300</v>
      </c>
      <c r="C35" s="7" t="s">
        <v>282</v>
      </c>
      <c r="D35" s="7" t="s">
        <v>283</v>
      </c>
      <c r="E35" s="7" t="s">
        <v>284</v>
      </c>
    </row>
    <row r="36" spans="1:5" x14ac:dyDescent="0.3">
      <c r="A36" s="7" t="s">
        <v>147</v>
      </c>
      <c r="B36" s="7" t="s">
        <v>301</v>
      </c>
      <c r="C36" s="7" t="s">
        <v>254</v>
      </c>
      <c r="D36" s="7" t="s">
        <v>279</v>
      </c>
      <c r="E36" s="7" t="s">
        <v>280</v>
      </c>
    </row>
    <row r="37" spans="1:5" x14ac:dyDescent="0.3">
      <c r="A37" s="7" t="s">
        <v>187</v>
      </c>
      <c r="B37" s="7" t="s">
        <v>261</v>
      </c>
      <c r="C37" s="7" t="s">
        <v>254</v>
      </c>
      <c r="D37" s="7" t="s">
        <v>270</v>
      </c>
      <c r="E37" s="7" t="s">
        <v>271</v>
      </c>
    </row>
    <row r="38" spans="1:5" x14ac:dyDescent="0.3">
      <c r="A38" s="7" t="s">
        <v>109</v>
      </c>
      <c r="B38" s="7" t="s">
        <v>257</v>
      </c>
      <c r="C38" s="7" t="s">
        <v>282</v>
      </c>
      <c r="D38" s="7" t="s">
        <v>279</v>
      </c>
      <c r="E38" s="7" t="s">
        <v>280</v>
      </c>
    </row>
    <row r="39" spans="1:5" x14ac:dyDescent="0.3">
      <c r="A39" s="7" t="s">
        <v>302</v>
      </c>
      <c r="B39" s="7" t="s">
        <v>303</v>
      </c>
      <c r="C39" s="7" t="s">
        <v>254</v>
      </c>
      <c r="D39" s="7" t="s">
        <v>262</v>
      </c>
      <c r="E39" s="7" t="s">
        <v>263</v>
      </c>
    </row>
    <row r="40" spans="1:5" x14ac:dyDescent="0.3">
      <c r="A40" s="7" t="s">
        <v>128</v>
      </c>
      <c r="B40" s="7" t="s">
        <v>304</v>
      </c>
      <c r="C40" s="7" t="s">
        <v>282</v>
      </c>
      <c r="D40" s="7" t="s">
        <v>262</v>
      </c>
      <c r="E40" s="7" t="s">
        <v>263</v>
      </c>
    </row>
    <row r="41" spans="1:5" x14ac:dyDescent="0.3">
      <c r="A41" s="7" t="s">
        <v>97</v>
      </c>
      <c r="B41" s="7" t="s">
        <v>305</v>
      </c>
      <c r="C41" s="7" t="s">
        <v>258</v>
      </c>
      <c r="D41" s="7" t="s">
        <v>262</v>
      </c>
      <c r="E41" s="7" t="s">
        <v>263</v>
      </c>
    </row>
    <row r="42" spans="1:5" x14ac:dyDescent="0.3">
      <c r="A42" s="7" t="s">
        <v>87</v>
      </c>
      <c r="B42" s="7" t="s">
        <v>306</v>
      </c>
      <c r="C42" s="7" t="s">
        <v>254</v>
      </c>
      <c r="D42" s="7" t="s">
        <v>262</v>
      </c>
      <c r="E42" s="7" t="s">
        <v>263</v>
      </c>
    </row>
    <row r="43" spans="1:5" x14ac:dyDescent="0.3">
      <c r="A43" s="7" t="s">
        <v>66</v>
      </c>
      <c r="B43" s="7" t="s">
        <v>264</v>
      </c>
      <c r="C43" s="7" t="s">
        <v>258</v>
      </c>
      <c r="D43" s="7" t="s">
        <v>262</v>
      </c>
      <c r="E43" s="7" t="s">
        <v>263</v>
      </c>
    </row>
    <row r="44" spans="1:5" x14ac:dyDescent="0.3">
      <c r="A44" s="7" t="s">
        <v>179</v>
      </c>
      <c r="B44" s="7" t="s">
        <v>307</v>
      </c>
      <c r="C44" s="7" t="s">
        <v>282</v>
      </c>
      <c r="D44" s="7" t="s">
        <v>259</v>
      </c>
      <c r="E44" s="7" t="s">
        <v>260</v>
      </c>
    </row>
    <row r="45" spans="1:5" x14ac:dyDescent="0.3">
      <c r="A45" s="7" t="s">
        <v>60</v>
      </c>
      <c r="B45" s="7" t="s">
        <v>308</v>
      </c>
      <c r="C45" s="7" t="s">
        <v>254</v>
      </c>
      <c r="D45" s="7" t="s">
        <v>283</v>
      </c>
      <c r="E45" s="7" t="s">
        <v>284</v>
      </c>
    </row>
    <row r="46" spans="1:5" x14ac:dyDescent="0.3">
      <c r="A46" s="7" t="s">
        <v>75</v>
      </c>
      <c r="B46" s="7" t="s">
        <v>257</v>
      </c>
      <c r="C46" s="7" t="s">
        <v>282</v>
      </c>
      <c r="D46" s="7" t="s">
        <v>262</v>
      </c>
      <c r="E46" s="7" t="s">
        <v>263</v>
      </c>
    </row>
    <row r="47" spans="1:5" x14ac:dyDescent="0.3">
      <c r="A47" s="7" t="s">
        <v>73</v>
      </c>
      <c r="B47" s="7" t="s">
        <v>257</v>
      </c>
      <c r="C47" s="7" t="s">
        <v>258</v>
      </c>
      <c r="D47" s="7" t="s">
        <v>270</v>
      </c>
      <c r="E47" s="7" t="s">
        <v>271</v>
      </c>
    </row>
    <row r="48" spans="1:5" x14ac:dyDescent="0.3">
      <c r="A48" s="7" t="s">
        <v>82</v>
      </c>
      <c r="B48" s="7" t="s">
        <v>293</v>
      </c>
      <c r="C48" s="7" t="s">
        <v>282</v>
      </c>
      <c r="D48" s="7" t="s">
        <v>270</v>
      </c>
      <c r="E48" s="7" t="s">
        <v>271</v>
      </c>
    </row>
    <row r="49" spans="1:5" x14ac:dyDescent="0.3">
      <c r="A49" s="7" t="s">
        <v>153</v>
      </c>
      <c r="B49" s="7" t="s">
        <v>264</v>
      </c>
      <c r="C49" s="7" t="s">
        <v>254</v>
      </c>
      <c r="D49" s="7" t="s">
        <v>270</v>
      </c>
      <c r="E49" s="7" t="s">
        <v>271</v>
      </c>
    </row>
    <row r="50" spans="1:5" x14ac:dyDescent="0.3">
      <c r="A50" s="7" t="s">
        <v>309</v>
      </c>
      <c r="B50" s="7" t="s">
        <v>310</v>
      </c>
      <c r="C50" s="7" t="s">
        <v>254</v>
      </c>
      <c r="D50" s="7" t="s">
        <v>270</v>
      </c>
      <c r="E50" s="7"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E38CB-01B2-41ED-9129-24CEC9832286}">
  <dimension ref="A3:G10"/>
  <sheetViews>
    <sheetView workbookViewId="0">
      <selection activeCell="V27" sqref="V27"/>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3" spans="1:7" x14ac:dyDescent="0.3">
      <c r="A3" s="10" t="s">
        <v>312</v>
      </c>
      <c r="B3" s="10" t="s">
        <v>315</v>
      </c>
      <c r="C3" s="10"/>
      <c r="D3" s="10"/>
      <c r="E3" s="10"/>
      <c r="F3" s="10"/>
      <c r="G3" s="10"/>
    </row>
    <row r="4" spans="1:7" x14ac:dyDescent="0.3">
      <c r="A4" s="10" t="s">
        <v>313</v>
      </c>
      <c r="B4" s="10" t="s">
        <v>218</v>
      </c>
      <c r="C4" s="10" t="s">
        <v>200</v>
      </c>
      <c r="D4" s="10" t="s">
        <v>211</v>
      </c>
      <c r="E4" s="10" t="s">
        <v>206</v>
      </c>
      <c r="F4" s="10" t="s">
        <v>203</v>
      </c>
      <c r="G4" s="10" t="s">
        <v>314</v>
      </c>
    </row>
    <row r="5" spans="1:7" x14ac:dyDescent="0.3">
      <c r="A5" s="11" t="s">
        <v>30</v>
      </c>
      <c r="B5" s="12">
        <v>84</v>
      </c>
      <c r="C5" s="12">
        <v>2662</v>
      </c>
      <c r="D5" s="12">
        <v>210</v>
      </c>
      <c r="E5" s="12">
        <v>2063</v>
      </c>
      <c r="F5" s="12">
        <v>437</v>
      </c>
      <c r="G5" s="12">
        <v>5456</v>
      </c>
    </row>
    <row r="6" spans="1:7" x14ac:dyDescent="0.3">
      <c r="A6" s="11" t="s">
        <v>17</v>
      </c>
      <c r="B6" s="12">
        <v>394</v>
      </c>
      <c r="C6" s="12">
        <v>365</v>
      </c>
      <c r="D6" s="12">
        <v>711</v>
      </c>
      <c r="E6" s="12">
        <v>741</v>
      </c>
      <c r="F6" s="12">
        <v>1424</v>
      </c>
      <c r="G6" s="12">
        <v>3635</v>
      </c>
    </row>
    <row r="7" spans="1:7" x14ac:dyDescent="0.3">
      <c r="A7" s="11" t="s">
        <v>12</v>
      </c>
      <c r="B7" s="12">
        <v>464</v>
      </c>
      <c r="C7" s="12">
        <v>6522</v>
      </c>
      <c r="D7" s="12">
        <v>788</v>
      </c>
      <c r="E7" s="12">
        <v>2131</v>
      </c>
      <c r="F7" s="12">
        <v>586</v>
      </c>
      <c r="G7" s="12">
        <v>10491</v>
      </c>
    </row>
    <row r="8" spans="1:7" x14ac:dyDescent="0.3">
      <c r="A8" s="11" t="s">
        <v>21</v>
      </c>
      <c r="B8" s="12">
        <v>423</v>
      </c>
      <c r="C8" s="12">
        <v>3938</v>
      </c>
      <c r="D8" s="12">
        <v>1032</v>
      </c>
      <c r="E8" s="12">
        <v>1881</v>
      </c>
      <c r="F8" s="12">
        <v>43</v>
      </c>
      <c r="G8" s="12">
        <v>7317</v>
      </c>
    </row>
    <row r="9" spans="1:7" x14ac:dyDescent="0.3">
      <c r="A9" s="11" t="s">
        <v>33</v>
      </c>
      <c r="B9" s="12">
        <v>350</v>
      </c>
      <c r="C9" s="12">
        <v>1722</v>
      </c>
      <c r="D9" s="12">
        <v>1131</v>
      </c>
      <c r="E9" s="12">
        <v>4135</v>
      </c>
      <c r="F9" s="12">
        <v>1021</v>
      </c>
      <c r="G9" s="12">
        <v>8359</v>
      </c>
    </row>
    <row r="10" spans="1:7" x14ac:dyDescent="0.3">
      <c r="A10" s="11" t="s">
        <v>314</v>
      </c>
      <c r="B10" s="12">
        <v>1715</v>
      </c>
      <c r="C10" s="12">
        <v>15209</v>
      </c>
      <c r="D10" s="12">
        <v>3872</v>
      </c>
      <c r="E10" s="12">
        <v>10951</v>
      </c>
      <c r="F10" s="12">
        <v>3511</v>
      </c>
      <c r="G10" s="12">
        <v>35258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D26EB-8E9C-42B5-86C6-F98164FBC5C5}">
  <dimension ref="A3:B7"/>
  <sheetViews>
    <sheetView workbookViewId="0">
      <selection activeCell="V26" sqref="V26"/>
    </sheetView>
  </sheetViews>
  <sheetFormatPr defaultRowHeight="14.4" x14ac:dyDescent="0.3"/>
  <cols>
    <col min="1" max="1" width="12.5546875" bestFit="1" customWidth="1"/>
    <col min="2" max="2" width="15.88671875" bestFit="1" customWidth="1"/>
  </cols>
  <sheetData>
    <row r="3" spans="1:2" x14ac:dyDescent="0.3">
      <c r="A3" s="10" t="s">
        <v>313</v>
      </c>
      <c r="B3" s="10" t="s">
        <v>320</v>
      </c>
    </row>
    <row r="4" spans="1:2" x14ac:dyDescent="0.3">
      <c r="A4" s="11" t="s">
        <v>14</v>
      </c>
      <c r="B4" s="12">
        <v>30</v>
      </c>
    </row>
    <row r="5" spans="1:2" x14ac:dyDescent="0.3">
      <c r="A5" s="11" t="s">
        <v>19</v>
      </c>
      <c r="B5" s="12">
        <v>34</v>
      </c>
    </row>
    <row r="6" spans="1:2" x14ac:dyDescent="0.3">
      <c r="A6" s="11" t="s">
        <v>22</v>
      </c>
      <c r="B6" s="12">
        <v>36</v>
      </c>
    </row>
    <row r="7" spans="1:2" x14ac:dyDescent="0.3">
      <c r="A7" s="11" t="s">
        <v>314</v>
      </c>
      <c r="B7" s="12">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05A1-3651-4ECB-9D68-4BC4B457CEB7}">
  <dimension ref="A3:B5"/>
  <sheetViews>
    <sheetView workbookViewId="0">
      <selection activeCell="V27" sqref="V27"/>
    </sheetView>
  </sheetViews>
  <sheetFormatPr defaultRowHeight="14.4" x14ac:dyDescent="0.3"/>
  <cols>
    <col min="1" max="1" width="12.5546875" bestFit="1" customWidth="1"/>
    <col min="2" max="2" width="19.21875" bestFit="1" customWidth="1"/>
  </cols>
  <sheetData>
    <row r="3" spans="1:2" x14ac:dyDescent="0.3">
      <c r="A3" s="10" t="s">
        <v>313</v>
      </c>
      <c r="B3" s="10" t="s">
        <v>312</v>
      </c>
    </row>
    <row r="4" spans="1:2" x14ac:dyDescent="0.3">
      <c r="A4" s="11" t="s">
        <v>19</v>
      </c>
      <c r="B4" s="12">
        <v>13656</v>
      </c>
    </row>
    <row r="5" spans="1:2" x14ac:dyDescent="0.3">
      <c r="A5" s="11" t="s">
        <v>314</v>
      </c>
      <c r="B5" s="12">
        <v>13656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616F-92C4-42A4-B9AE-20B8229F9F90}">
  <dimension ref="A1:B10"/>
  <sheetViews>
    <sheetView workbookViewId="0">
      <selection activeCell="T27" sqref="T27"/>
    </sheetView>
  </sheetViews>
  <sheetFormatPr defaultRowHeight="14.4" x14ac:dyDescent="0.3"/>
  <cols>
    <col min="1" max="1" width="15.109375" bestFit="1" customWidth="1"/>
    <col min="2" max="2" width="26.109375" bestFit="1" customWidth="1"/>
    <col min="3" max="3" width="9.44140625" bestFit="1" customWidth="1"/>
    <col min="4" max="4" width="10.33203125" bestFit="1" customWidth="1"/>
    <col min="5" max="5" width="9.77734375" bestFit="1" customWidth="1"/>
    <col min="6" max="6" width="7.33203125" bestFit="1" customWidth="1"/>
    <col min="7" max="7" width="10.77734375" bestFit="1" customWidth="1"/>
  </cols>
  <sheetData>
    <row r="1" spans="1:2" x14ac:dyDescent="0.3">
      <c r="A1" s="10" t="s">
        <v>5</v>
      </c>
      <c r="B1" s="10" t="s">
        <v>319</v>
      </c>
    </row>
    <row r="2" spans="1:2" x14ac:dyDescent="0.3">
      <c r="A2" s="10" t="s">
        <v>316</v>
      </c>
      <c r="B2" s="10" t="s">
        <v>319</v>
      </c>
    </row>
    <row r="4" spans="1:2" x14ac:dyDescent="0.3">
      <c r="A4" s="10" t="s">
        <v>313</v>
      </c>
      <c r="B4" s="10" t="s">
        <v>318</v>
      </c>
    </row>
    <row r="5" spans="1:2" x14ac:dyDescent="0.3">
      <c r="A5" s="11" t="s">
        <v>30</v>
      </c>
      <c r="B5" s="13">
        <v>4.2</v>
      </c>
    </row>
    <row r="6" spans="1:2" x14ac:dyDescent="0.3">
      <c r="A6" s="11" t="s">
        <v>17</v>
      </c>
      <c r="B6" s="13">
        <v>4.25</v>
      </c>
    </row>
    <row r="7" spans="1:2" x14ac:dyDescent="0.3">
      <c r="A7" s="11" t="s">
        <v>12</v>
      </c>
      <c r="B7" s="13">
        <v>3.625</v>
      </c>
    </row>
    <row r="8" spans="1:2" x14ac:dyDescent="0.3">
      <c r="A8" s="11" t="s">
        <v>21</v>
      </c>
      <c r="B8" s="13">
        <v>3.3333333333333335</v>
      </c>
    </row>
    <row r="9" spans="1:2" x14ac:dyDescent="0.3">
      <c r="A9" s="11" t="s">
        <v>33</v>
      </c>
      <c r="B9" s="13">
        <v>3.4285714285714284</v>
      </c>
    </row>
    <row r="10" spans="1:2" x14ac:dyDescent="0.3">
      <c r="A10" s="11" t="s">
        <v>314</v>
      </c>
      <c r="B10" s="14">
        <v>3.7647058823529411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1B86-1D5D-40A7-B27C-E65F8227EE9A}">
  <dimension ref="A3:A4"/>
  <sheetViews>
    <sheetView workbookViewId="0">
      <selection activeCell="V26" sqref="V26"/>
    </sheetView>
  </sheetViews>
  <sheetFormatPr defaultRowHeight="14.4" x14ac:dyDescent="0.3"/>
  <cols>
    <col min="1" max="1" width="19.21875" bestFit="1" customWidth="1"/>
  </cols>
  <sheetData>
    <row r="3" spans="1:1" x14ac:dyDescent="0.3">
      <c r="A3" s="10" t="s">
        <v>312</v>
      </c>
    </row>
    <row r="4" spans="1:1" x14ac:dyDescent="0.3">
      <c r="A4" s="12">
        <v>35258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6B0BE-94BB-4973-9552-1574E833D8C3}">
  <dimension ref="A3:K17"/>
  <sheetViews>
    <sheetView workbookViewId="0">
      <selection activeCell="U27" sqref="U27"/>
    </sheetView>
  </sheetViews>
  <sheetFormatPr defaultRowHeight="14.4" x14ac:dyDescent="0.3"/>
  <cols>
    <col min="1" max="1" width="15.88671875" bestFit="1" customWidth="1"/>
    <col min="2" max="2" width="15.5546875" bestFit="1" customWidth="1"/>
    <col min="3" max="3" width="3.77734375" bestFit="1" customWidth="1"/>
    <col min="4" max="4" width="10.77734375" bestFit="1" customWidth="1"/>
    <col min="5" max="5" width="20.21875" bestFit="1" customWidth="1"/>
  </cols>
  <sheetData>
    <row r="3" spans="1:11" x14ac:dyDescent="0.3">
      <c r="A3" s="10" t="s">
        <v>320</v>
      </c>
      <c r="B3" s="10" t="s">
        <v>315</v>
      </c>
      <c r="C3" s="10"/>
      <c r="D3" s="10"/>
    </row>
    <row r="4" spans="1:11" x14ac:dyDescent="0.3">
      <c r="A4" s="10" t="s">
        <v>313</v>
      </c>
      <c r="B4" s="10" t="s">
        <v>323</v>
      </c>
      <c r="C4" s="10" t="s">
        <v>324</v>
      </c>
      <c r="D4" s="10" t="s">
        <v>314</v>
      </c>
    </row>
    <row r="5" spans="1:11" x14ac:dyDescent="0.3">
      <c r="A5" s="11" t="s">
        <v>30</v>
      </c>
      <c r="B5" s="12">
        <v>9</v>
      </c>
      <c r="C5" s="12">
        <v>5</v>
      </c>
      <c r="D5" s="12">
        <v>14</v>
      </c>
      <c r="E5" s="31">
        <f>GETPIVOTDATA("Order ID",$A$3,"Region","Central","Is cancelled","Yes")/GETPIVOTDATA("Order ID",$A$3,"Region","Central")</f>
        <v>0.35714285714285715</v>
      </c>
    </row>
    <row r="6" spans="1:11" x14ac:dyDescent="0.3">
      <c r="A6" s="11" t="s">
        <v>17</v>
      </c>
      <c r="B6" s="12">
        <v>15</v>
      </c>
      <c r="C6" s="12">
        <v>3</v>
      </c>
      <c r="D6" s="12">
        <v>18</v>
      </c>
      <c r="E6" s="31">
        <f>GETPIVOTDATA("Order ID",$A$3,"Region","East","Is cancelled","Yes")/GETPIVOTDATA("Order ID",$A$3,"Region","East")</f>
        <v>0.16666666666666666</v>
      </c>
    </row>
    <row r="7" spans="1:11" x14ac:dyDescent="0.3">
      <c r="A7" s="11" t="s">
        <v>12</v>
      </c>
      <c r="B7" s="12">
        <v>15</v>
      </c>
      <c r="C7" s="12">
        <v>10</v>
      </c>
      <c r="D7" s="12">
        <v>25</v>
      </c>
      <c r="E7" s="31">
        <f>GETPIVOTDATA("Order ID",$A$3,"Region","North","Is cancelled","Yes")/GETPIVOTDATA("Order ID",$A$3,"Region","North")</f>
        <v>0.4</v>
      </c>
    </row>
    <row r="8" spans="1:11" x14ac:dyDescent="0.3">
      <c r="A8" s="11" t="s">
        <v>21</v>
      </c>
      <c r="B8" s="12">
        <v>16</v>
      </c>
      <c r="C8" s="12">
        <v>4</v>
      </c>
      <c r="D8" s="12">
        <v>20</v>
      </c>
      <c r="E8" s="31">
        <f>GETPIVOTDATA("Order ID",$A$3,"Region","South","Is cancelled","Yes")/GETPIVOTDATA("Order ID",$A$3,"Region","South")</f>
        <v>0.2</v>
      </c>
    </row>
    <row r="9" spans="1:11" x14ac:dyDescent="0.3">
      <c r="A9" s="11" t="s">
        <v>33</v>
      </c>
      <c r="B9" s="12">
        <v>15</v>
      </c>
      <c r="C9" s="12">
        <v>8</v>
      </c>
      <c r="D9" s="12">
        <v>23</v>
      </c>
      <c r="E9" s="31">
        <f>GETPIVOTDATA("Order ID",$A$3,"Region","West","Is cancelled","Yes")/GETPIVOTDATA("Order ID",$A$3,"Region","West")</f>
        <v>0.34782608695652173</v>
      </c>
    </row>
    <row r="10" spans="1:11" x14ac:dyDescent="0.3">
      <c r="A10" s="11" t="s">
        <v>314</v>
      </c>
      <c r="B10" s="12">
        <v>70</v>
      </c>
      <c r="C10" s="12">
        <v>30</v>
      </c>
      <c r="D10" s="12">
        <v>100</v>
      </c>
    </row>
    <row r="14" spans="1:11" x14ac:dyDescent="0.3">
      <c r="H14" s="18"/>
      <c r="I14" s="19"/>
      <c r="J14" s="19"/>
      <c r="K14" s="19"/>
    </row>
    <row r="15" spans="1:11" x14ac:dyDescent="0.3">
      <c r="H15" s="18"/>
      <c r="I15" s="19"/>
      <c r="J15" s="19"/>
      <c r="K15" s="19"/>
    </row>
    <row r="16" spans="1:11" x14ac:dyDescent="0.3">
      <c r="H16" s="18"/>
      <c r="I16" s="19"/>
      <c r="J16" s="19"/>
      <c r="K16" s="19"/>
    </row>
    <row r="17" spans="8:11" x14ac:dyDescent="0.3">
      <c r="H17" s="18"/>
      <c r="I17" s="19"/>
      <c r="J17" s="19"/>
      <c r="K17"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7678-46DD-4F36-9AE0-F2C34EB983CB}">
  <dimension ref="A3:G5"/>
  <sheetViews>
    <sheetView workbookViewId="0">
      <selection activeCell="I19" sqref="I19"/>
    </sheetView>
  </sheetViews>
  <sheetFormatPr defaultRowHeight="14.4" x14ac:dyDescent="0.3"/>
  <cols>
    <col min="1" max="1" width="15.88671875" bestFit="1" customWidth="1"/>
    <col min="2" max="2" width="15.5546875" bestFit="1" customWidth="1"/>
    <col min="3" max="3" width="3.5546875" bestFit="1" customWidth="1"/>
    <col min="4" max="4" width="6" bestFit="1" customWidth="1"/>
    <col min="5" max="5" width="10.77734375" bestFit="1" customWidth="1"/>
  </cols>
  <sheetData>
    <row r="3" spans="1:7" x14ac:dyDescent="0.3">
      <c r="A3" s="10"/>
      <c r="B3" s="10" t="s">
        <v>315</v>
      </c>
      <c r="C3" s="10"/>
      <c r="D3" s="10"/>
      <c r="E3" s="10"/>
      <c r="F3" s="17"/>
      <c r="G3" s="17"/>
    </row>
    <row r="4" spans="1:7" x14ac:dyDescent="0.3">
      <c r="A4" s="10"/>
      <c r="B4" s="10" t="s">
        <v>325</v>
      </c>
      <c r="C4" s="10" t="s">
        <v>326</v>
      </c>
      <c r="D4" s="10" t="s">
        <v>327</v>
      </c>
      <c r="E4" s="10" t="s">
        <v>314</v>
      </c>
      <c r="F4" s="17" t="s">
        <v>328</v>
      </c>
      <c r="G4" s="17"/>
    </row>
    <row r="5" spans="1:7" x14ac:dyDescent="0.3">
      <c r="A5" s="10" t="s">
        <v>320</v>
      </c>
      <c r="B5" s="12">
        <v>11</v>
      </c>
      <c r="C5" s="12">
        <v>66</v>
      </c>
      <c r="D5" s="12">
        <v>23</v>
      </c>
      <c r="E5" s="12">
        <v>100</v>
      </c>
      <c r="F5" s="20">
        <f>GETPIVOTDATA("Order ID",$A$3,"Delivery performance","FAST")/(GETPIVOTDATA("Order ID",$A$3,"Delivery performance","FAST")+GETPIVOTDATA("Order ID",$A$3,"Delivery performance","SLOW"))</f>
        <v>0.3235294117647059</v>
      </c>
      <c r="G5" s="1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09CB-A634-461E-8B02-76E72B04CF09}">
  <dimension ref="A3:H20"/>
  <sheetViews>
    <sheetView workbookViewId="0">
      <selection activeCell="E3" sqref="E3"/>
    </sheetView>
  </sheetViews>
  <sheetFormatPr defaultRowHeight="14.4" x14ac:dyDescent="0.3"/>
  <cols>
    <col min="1" max="1" width="12.5546875" bestFit="1" customWidth="1"/>
    <col min="2" max="2" width="19.21875" bestFit="1" customWidth="1"/>
  </cols>
  <sheetData>
    <row r="3" spans="1:7" x14ac:dyDescent="0.3">
      <c r="A3" s="10" t="s">
        <v>313</v>
      </c>
      <c r="B3" s="10" t="s">
        <v>312</v>
      </c>
    </row>
    <row r="4" spans="1:7" x14ac:dyDescent="0.3">
      <c r="A4" s="11" t="s">
        <v>12</v>
      </c>
      <c r="B4" s="12">
        <v>10491</v>
      </c>
    </row>
    <row r="5" spans="1:7" x14ac:dyDescent="0.3">
      <c r="A5" s="11" t="s">
        <v>21</v>
      </c>
      <c r="B5" s="12">
        <v>7317</v>
      </c>
    </row>
    <row r="6" spans="1:7" x14ac:dyDescent="0.3">
      <c r="A6" s="11" t="s">
        <v>33</v>
      </c>
      <c r="B6" s="12">
        <v>8359</v>
      </c>
    </row>
    <row r="7" spans="1:7" x14ac:dyDescent="0.3">
      <c r="A7" s="11" t="s">
        <v>314</v>
      </c>
      <c r="B7" s="12">
        <v>26167</v>
      </c>
    </row>
    <row r="12" spans="1:7" x14ac:dyDescent="0.3">
      <c r="G12" s="30"/>
    </row>
    <row r="20" spans="8:8" x14ac:dyDescent="0.3">
      <c r="H20" s="3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48A6-EBDB-4899-98F2-03B4FCB713CF}">
  <dimension ref="A3:B6"/>
  <sheetViews>
    <sheetView workbookViewId="0">
      <selection activeCell="E16" sqref="E16"/>
    </sheetView>
  </sheetViews>
  <sheetFormatPr defaultRowHeight="14.4" x14ac:dyDescent="0.3"/>
  <cols>
    <col min="1" max="1" width="12.5546875" bestFit="1" customWidth="1"/>
    <col min="2" max="2" width="20.5546875" bestFit="1" customWidth="1"/>
  </cols>
  <sheetData>
    <row r="3" spans="1:2" x14ac:dyDescent="0.3">
      <c r="A3" s="10" t="s">
        <v>313</v>
      </c>
      <c r="B3" s="10" t="s">
        <v>339</v>
      </c>
    </row>
    <row r="4" spans="1:2" x14ac:dyDescent="0.3">
      <c r="A4" s="11" t="s">
        <v>208</v>
      </c>
      <c r="B4" s="12">
        <v>8</v>
      </c>
    </row>
    <row r="5" spans="1:2" x14ac:dyDescent="0.3">
      <c r="A5" s="11" t="s">
        <v>210</v>
      </c>
      <c r="B5" s="12">
        <v>8</v>
      </c>
    </row>
    <row r="6" spans="1:2" x14ac:dyDescent="0.3">
      <c r="A6" s="11" t="s">
        <v>314</v>
      </c>
      <c r="B6" s="12">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5F7F-E15F-4E49-9D1E-89460E81FCAC}">
  <dimension ref="A3:D17"/>
  <sheetViews>
    <sheetView workbookViewId="0">
      <selection activeCell="Q20" sqref="Q20"/>
    </sheetView>
  </sheetViews>
  <sheetFormatPr defaultRowHeight="14.4" x14ac:dyDescent="0.3"/>
  <cols>
    <col min="1" max="1" width="12.5546875" bestFit="1" customWidth="1"/>
    <col min="2" max="2" width="19.21875" bestFit="1" customWidth="1"/>
  </cols>
  <sheetData>
    <row r="3" spans="1:4" x14ac:dyDescent="0.3">
      <c r="A3" s="10" t="s">
        <v>313</v>
      </c>
      <c r="B3" s="10" t="s">
        <v>312</v>
      </c>
      <c r="C3" s="10" t="s">
        <v>344</v>
      </c>
      <c r="D3" s="10" t="s">
        <v>345</v>
      </c>
    </row>
    <row r="4" spans="1:4" x14ac:dyDescent="0.3">
      <c r="A4" s="11" t="s">
        <v>30</v>
      </c>
      <c r="B4" s="12">
        <v>5456</v>
      </c>
      <c r="C4" s="10" t="e">
        <f>IF(B4&gt;7000,B4,NA())</f>
        <v>#N/A</v>
      </c>
      <c r="D4" s="10">
        <f>IF(B4&lt;7000,B4,NA())</f>
        <v>5456</v>
      </c>
    </row>
    <row r="5" spans="1:4" x14ac:dyDescent="0.3">
      <c r="A5" s="11" t="s">
        <v>17</v>
      </c>
      <c r="B5" s="12">
        <v>3635</v>
      </c>
      <c r="C5" s="10" t="e">
        <f t="shared" ref="C5:C9" si="0">IF(B5&gt;7000,B5,NA())</f>
        <v>#N/A</v>
      </c>
      <c r="D5" s="10">
        <f t="shared" ref="D5:D9" si="1">IF(B5&lt;7000,B5,NA())</f>
        <v>3635</v>
      </c>
    </row>
    <row r="6" spans="1:4" x14ac:dyDescent="0.3">
      <c r="A6" s="11" t="s">
        <v>12</v>
      </c>
      <c r="B6" s="12">
        <v>10491</v>
      </c>
      <c r="C6" s="10">
        <f t="shared" si="0"/>
        <v>10491</v>
      </c>
      <c r="D6" s="10" t="e">
        <f t="shared" si="1"/>
        <v>#N/A</v>
      </c>
    </row>
    <row r="7" spans="1:4" x14ac:dyDescent="0.3">
      <c r="A7" s="11" t="s">
        <v>21</v>
      </c>
      <c r="B7" s="12">
        <v>7317</v>
      </c>
      <c r="C7" s="10">
        <f t="shared" si="0"/>
        <v>7317</v>
      </c>
      <c r="D7" s="10" t="e">
        <f t="shared" si="1"/>
        <v>#N/A</v>
      </c>
    </row>
    <row r="8" spans="1:4" x14ac:dyDescent="0.3">
      <c r="A8" s="11" t="s">
        <v>33</v>
      </c>
      <c r="B8" s="12">
        <v>8359</v>
      </c>
      <c r="C8" s="10">
        <f t="shared" si="0"/>
        <v>8359</v>
      </c>
      <c r="D8" s="10" t="e">
        <f t="shared" si="1"/>
        <v>#N/A</v>
      </c>
    </row>
    <row r="9" spans="1:4" x14ac:dyDescent="0.3">
      <c r="A9" s="11" t="s">
        <v>314</v>
      </c>
      <c r="B9" s="12">
        <v>35258</v>
      </c>
      <c r="C9" s="10">
        <f t="shared" si="0"/>
        <v>35258</v>
      </c>
      <c r="D9" s="10" t="e">
        <f t="shared" si="1"/>
        <v>#N/A</v>
      </c>
    </row>
    <row r="13" spans="1:4" x14ac:dyDescent="0.3">
      <c r="A13" s="27" t="s">
        <v>30</v>
      </c>
      <c r="B13" s="28">
        <v>5456</v>
      </c>
      <c r="C13" s="29" t="e">
        <f>IF(B13&gt;7000,B13,NA())</f>
        <v>#N/A</v>
      </c>
      <c r="D13" s="29">
        <f>IF(B13&lt;7000,B13,NA())</f>
        <v>5456</v>
      </c>
    </row>
    <row r="14" spans="1:4" x14ac:dyDescent="0.3">
      <c r="A14" s="27" t="s">
        <v>17</v>
      </c>
      <c r="B14" s="28">
        <v>3635</v>
      </c>
      <c r="C14" s="29" t="e">
        <f t="shared" ref="C14:C17" si="2">IF(B14&gt;7000,B14,NA())</f>
        <v>#N/A</v>
      </c>
      <c r="D14" s="29">
        <f t="shared" ref="D14:D17" si="3">IF(B14&lt;7000,B14,NA())</f>
        <v>3635</v>
      </c>
    </row>
    <row r="15" spans="1:4" x14ac:dyDescent="0.3">
      <c r="A15" s="27" t="s">
        <v>12</v>
      </c>
      <c r="B15" s="28">
        <v>10491</v>
      </c>
      <c r="C15" s="29">
        <f t="shared" si="2"/>
        <v>10491</v>
      </c>
      <c r="D15" s="29" t="e">
        <f t="shared" si="3"/>
        <v>#N/A</v>
      </c>
    </row>
    <row r="16" spans="1:4" x14ac:dyDescent="0.3">
      <c r="A16" s="27" t="s">
        <v>21</v>
      </c>
      <c r="B16" s="28">
        <v>7317</v>
      </c>
      <c r="C16" s="29">
        <f t="shared" si="2"/>
        <v>7317</v>
      </c>
      <c r="D16" s="29" t="e">
        <f t="shared" si="3"/>
        <v>#N/A</v>
      </c>
    </row>
    <row r="17" spans="1:4" x14ac:dyDescent="0.3">
      <c r="A17" s="27" t="s">
        <v>33</v>
      </c>
      <c r="B17" s="28">
        <v>8359</v>
      </c>
      <c r="C17" s="29">
        <f t="shared" si="2"/>
        <v>8359</v>
      </c>
      <c r="D17" s="29" t="e">
        <f t="shared" si="3"/>
        <v>#N/A</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E51B-BFCC-4DBE-BEDD-25E32381D1C6}">
  <dimension ref="A3:B9"/>
  <sheetViews>
    <sheetView workbookViewId="0">
      <selection activeCell="V40" sqref="V40"/>
    </sheetView>
  </sheetViews>
  <sheetFormatPr defaultRowHeight="14.4" x14ac:dyDescent="0.3"/>
  <cols>
    <col min="1" max="1" width="12.5546875" bestFit="1" customWidth="1"/>
    <col min="2" max="2" width="19.21875" bestFit="1" customWidth="1"/>
  </cols>
  <sheetData>
    <row r="3" spans="1:2" x14ac:dyDescent="0.3">
      <c r="A3" s="10" t="s">
        <v>313</v>
      </c>
      <c r="B3" s="10" t="s">
        <v>312</v>
      </c>
    </row>
    <row r="4" spans="1:2" x14ac:dyDescent="0.3">
      <c r="A4" s="11" t="s">
        <v>28</v>
      </c>
      <c r="B4" s="12">
        <v>4719</v>
      </c>
    </row>
    <row r="5" spans="1:2" x14ac:dyDescent="0.3">
      <c r="A5" s="11" t="s">
        <v>13</v>
      </c>
      <c r="B5" s="12">
        <v>6144</v>
      </c>
    </row>
    <row r="6" spans="1:2" x14ac:dyDescent="0.3">
      <c r="A6" s="11" t="s">
        <v>18</v>
      </c>
      <c r="B6" s="12">
        <v>9398</v>
      </c>
    </row>
    <row r="7" spans="1:2" x14ac:dyDescent="0.3">
      <c r="A7" s="11" t="s">
        <v>31</v>
      </c>
      <c r="B7" s="12">
        <v>8348</v>
      </c>
    </row>
    <row r="8" spans="1:2" x14ac:dyDescent="0.3">
      <c r="A8" s="11" t="s">
        <v>24</v>
      </c>
      <c r="B8" s="12">
        <v>6649</v>
      </c>
    </row>
    <row r="9" spans="1:2" x14ac:dyDescent="0.3">
      <c r="A9" s="11" t="s">
        <v>314</v>
      </c>
      <c r="B9" s="12">
        <v>35258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4693-8928-481D-A78D-CC2EAF6BA7FE}">
  <dimension ref="A3:B7"/>
  <sheetViews>
    <sheetView workbookViewId="0">
      <selection activeCell="A3" sqref="A3:B7"/>
    </sheetView>
  </sheetViews>
  <sheetFormatPr defaultRowHeight="14.4" x14ac:dyDescent="0.3"/>
  <cols>
    <col min="1" max="1" width="12.5546875" bestFit="1" customWidth="1"/>
    <col min="2" max="2" width="19.21875" bestFit="1" customWidth="1"/>
  </cols>
  <sheetData>
    <row r="3" spans="1:2" x14ac:dyDescent="0.3">
      <c r="A3" s="10" t="s">
        <v>313</v>
      </c>
      <c r="B3" s="10" t="s">
        <v>312</v>
      </c>
    </row>
    <row r="4" spans="1:2" x14ac:dyDescent="0.3">
      <c r="A4" s="11" t="s">
        <v>14</v>
      </c>
      <c r="B4" s="12">
        <v>6961</v>
      </c>
    </row>
    <row r="5" spans="1:2" x14ac:dyDescent="0.3">
      <c r="A5" s="11" t="s">
        <v>19</v>
      </c>
      <c r="B5" s="12">
        <v>13656</v>
      </c>
    </row>
    <row r="6" spans="1:2" x14ac:dyDescent="0.3">
      <c r="A6" s="11" t="s">
        <v>22</v>
      </c>
      <c r="B6" s="12">
        <v>14641</v>
      </c>
    </row>
    <row r="7" spans="1:2" x14ac:dyDescent="0.3">
      <c r="A7" s="11" t="s">
        <v>314</v>
      </c>
      <c r="B7" s="12">
        <v>35258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916E-4DE5-44BF-A780-BED4ADAB70D0}">
  <dimension ref="A3:B16"/>
  <sheetViews>
    <sheetView workbookViewId="0">
      <selection activeCell="V27" sqref="V27"/>
    </sheetView>
  </sheetViews>
  <sheetFormatPr defaultRowHeight="14.4" x14ac:dyDescent="0.3"/>
  <cols>
    <col min="1" max="1" width="12.5546875" bestFit="1" customWidth="1"/>
    <col min="2" max="2" width="19.21875" bestFit="1" customWidth="1"/>
  </cols>
  <sheetData>
    <row r="3" spans="1:2" x14ac:dyDescent="0.3">
      <c r="A3" s="10" t="s">
        <v>313</v>
      </c>
      <c r="B3" s="10" t="s">
        <v>312</v>
      </c>
    </row>
    <row r="4" spans="1:2" x14ac:dyDescent="0.3">
      <c r="A4" s="11" t="s">
        <v>330</v>
      </c>
      <c r="B4" s="12">
        <v>1099</v>
      </c>
    </row>
    <row r="5" spans="1:2" x14ac:dyDescent="0.3">
      <c r="A5" s="11" t="s">
        <v>331</v>
      </c>
      <c r="B5" s="12">
        <v>3712</v>
      </c>
    </row>
    <row r="6" spans="1:2" x14ac:dyDescent="0.3">
      <c r="A6" s="11" t="s">
        <v>340</v>
      </c>
      <c r="B6" s="12">
        <v>905</v>
      </c>
    </row>
    <row r="7" spans="1:2" x14ac:dyDescent="0.3">
      <c r="A7" s="11" t="s">
        <v>341</v>
      </c>
      <c r="B7" s="12">
        <v>2637</v>
      </c>
    </row>
    <row r="8" spans="1:2" x14ac:dyDescent="0.3">
      <c r="A8" s="11" t="s">
        <v>332</v>
      </c>
      <c r="B8" s="12">
        <v>4940</v>
      </c>
    </row>
    <row r="9" spans="1:2" x14ac:dyDescent="0.3">
      <c r="A9" s="11" t="s">
        <v>333</v>
      </c>
      <c r="B9" s="12">
        <v>2599</v>
      </c>
    </row>
    <row r="10" spans="1:2" x14ac:dyDescent="0.3">
      <c r="A10" s="11" t="s">
        <v>342</v>
      </c>
      <c r="B10" s="12">
        <v>3315</v>
      </c>
    </row>
    <row r="11" spans="1:2" x14ac:dyDescent="0.3">
      <c r="A11" s="11" t="s">
        <v>334</v>
      </c>
      <c r="B11" s="12">
        <v>782</v>
      </c>
    </row>
    <row r="12" spans="1:2" x14ac:dyDescent="0.3">
      <c r="A12" s="11" t="s">
        <v>335</v>
      </c>
      <c r="B12" s="12">
        <v>1570</v>
      </c>
    </row>
    <row r="13" spans="1:2" x14ac:dyDescent="0.3">
      <c r="A13" s="11" t="s">
        <v>336</v>
      </c>
      <c r="B13" s="12">
        <v>2920</v>
      </c>
    </row>
    <row r="14" spans="1:2" x14ac:dyDescent="0.3">
      <c r="A14" s="11" t="s">
        <v>337</v>
      </c>
      <c r="B14" s="12">
        <v>6312</v>
      </c>
    </row>
    <row r="15" spans="1:2" x14ac:dyDescent="0.3">
      <c r="A15" s="11" t="s">
        <v>338</v>
      </c>
      <c r="B15" s="12">
        <v>4467</v>
      </c>
    </row>
    <row r="16" spans="1:2" x14ac:dyDescent="0.3">
      <c r="A16" s="11" t="s">
        <v>314</v>
      </c>
      <c r="B16" s="12">
        <v>35258</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4E0A-44E9-4A17-808D-B72B80FE9399}">
  <dimension ref="A1:AT249"/>
  <sheetViews>
    <sheetView showGridLines="0" tabSelected="1" zoomScaleNormal="100" workbookViewId="0">
      <selection activeCell="AG25" sqref="AF25:AG25"/>
    </sheetView>
  </sheetViews>
  <sheetFormatPr defaultRowHeight="14.4" x14ac:dyDescent="0.3"/>
  <cols>
    <col min="46" max="46" width="19.21875" bestFit="1" customWidth="1"/>
  </cols>
  <sheetData>
    <row r="1" spans="1:46" x14ac:dyDescent="0.3">
      <c r="A1" s="21"/>
      <c r="B1" s="21"/>
      <c r="C1" s="21"/>
      <c r="D1" s="21"/>
      <c r="E1" s="21"/>
      <c r="F1" s="21"/>
      <c r="G1" s="21"/>
      <c r="H1" s="21"/>
      <c r="I1" s="21"/>
      <c r="J1" s="21"/>
      <c r="K1" s="21"/>
      <c r="L1" s="21"/>
      <c r="M1" s="21"/>
      <c r="N1" s="21"/>
      <c r="O1" s="21"/>
      <c r="P1" s="21"/>
      <c r="Q1" s="21"/>
      <c r="R1" s="21"/>
      <c r="S1" s="21"/>
      <c r="T1" s="21"/>
      <c r="U1" s="21"/>
      <c r="V1" s="21"/>
      <c r="W1" s="21"/>
      <c r="X1" s="21"/>
    </row>
    <row r="2" spans="1:46" x14ac:dyDescent="0.3">
      <c r="A2" s="21"/>
      <c r="B2" s="21"/>
      <c r="C2" s="21"/>
      <c r="D2" s="21"/>
      <c r="E2" s="21"/>
      <c r="F2" s="21"/>
      <c r="G2" s="21"/>
      <c r="H2" s="21"/>
      <c r="I2" s="21"/>
      <c r="J2" s="21"/>
      <c r="K2" s="21"/>
      <c r="L2" s="21"/>
      <c r="M2" s="21"/>
      <c r="N2" s="21"/>
      <c r="O2" s="21"/>
      <c r="P2" s="21"/>
      <c r="Q2" s="21"/>
      <c r="R2" s="21"/>
      <c r="S2" s="21"/>
      <c r="T2" s="21"/>
      <c r="U2" s="21"/>
      <c r="V2" s="21"/>
      <c r="W2" s="21"/>
      <c r="X2" s="21"/>
    </row>
    <row r="3" spans="1:46" ht="31.2" x14ac:dyDescent="0.6">
      <c r="A3" s="21"/>
      <c r="B3" s="21"/>
      <c r="C3" s="21"/>
      <c r="D3" s="21"/>
      <c r="E3" s="21"/>
      <c r="F3" s="21"/>
      <c r="G3" s="21"/>
      <c r="H3" s="21"/>
      <c r="I3" s="21"/>
      <c r="J3" s="21"/>
      <c r="K3" s="23" t="s">
        <v>343</v>
      </c>
      <c r="L3" s="22"/>
      <c r="M3" s="21"/>
      <c r="N3" s="21"/>
      <c r="O3" s="21"/>
      <c r="P3" s="21"/>
      <c r="Q3" s="21"/>
      <c r="R3" s="21"/>
      <c r="S3" s="21"/>
      <c r="T3" s="21"/>
      <c r="U3" s="21"/>
      <c r="V3" s="21"/>
      <c r="W3" s="21"/>
      <c r="X3" s="21"/>
    </row>
    <row r="4" spans="1:46" x14ac:dyDescent="0.3">
      <c r="A4" s="21"/>
      <c r="B4" s="21"/>
      <c r="C4" s="21"/>
      <c r="D4" s="21"/>
      <c r="E4" s="21"/>
      <c r="F4" s="21"/>
      <c r="G4" s="21"/>
      <c r="H4" s="21"/>
      <c r="I4" s="21"/>
      <c r="J4" s="21"/>
      <c r="K4" s="21"/>
      <c r="L4" s="21"/>
      <c r="M4" s="21"/>
      <c r="N4" s="21"/>
      <c r="O4" s="21"/>
      <c r="P4" s="21"/>
      <c r="Q4" s="21"/>
      <c r="R4" s="21"/>
      <c r="S4" s="21"/>
      <c r="T4" s="21"/>
      <c r="U4" s="21"/>
      <c r="V4" s="21"/>
      <c r="W4" s="21"/>
      <c r="X4" s="21"/>
    </row>
    <row r="5" spans="1:46" x14ac:dyDescent="0.3">
      <c r="A5" s="21"/>
      <c r="B5" s="21"/>
      <c r="C5" s="21"/>
      <c r="D5" s="21"/>
      <c r="E5" s="21"/>
      <c r="F5" s="21"/>
      <c r="G5" s="21"/>
      <c r="H5" s="21"/>
      <c r="I5" s="21"/>
      <c r="J5" s="21"/>
      <c r="K5" s="21"/>
      <c r="L5" s="21"/>
      <c r="M5" s="21"/>
      <c r="N5" s="21"/>
      <c r="O5" s="21"/>
      <c r="P5" s="21"/>
      <c r="Q5" s="21"/>
      <c r="R5" s="21"/>
      <c r="S5" s="21"/>
      <c r="T5" s="21"/>
      <c r="U5" s="21"/>
      <c r="V5" s="21"/>
      <c r="W5" s="21"/>
      <c r="X5" s="21"/>
    </row>
    <row r="6" spans="1:46" x14ac:dyDescent="0.3">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row>
    <row r="7" spans="1:46" x14ac:dyDescent="0.3">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row>
    <row r="8" spans="1:46" x14ac:dyDescent="0.3">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t="s">
        <v>312</v>
      </c>
    </row>
    <row r="9" spans="1:46" x14ac:dyDescent="0.3">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16">
        <v>35258</v>
      </c>
    </row>
    <row r="10" spans="1:46" x14ac:dyDescent="0.3">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5">
        <v>35</v>
      </c>
      <c r="AS10" s="24"/>
    </row>
    <row r="11" spans="1:46" x14ac:dyDescent="0.3">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row>
    <row r="12" spans="1:46" x14ac:dyDescent="0.3">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row>
    <row r="13" spans="1:46" x14ac:dyDescent="0.3">
      <c r="A13" s="24"/>
      <c r="B13" s="24"/>
      <c r="C13" s="24"/>
      <c r="D13" s="24"/>
      <c r="E13" s="24"/>
      <c r="F13" s="24"/>
      <c r="G13" s="24"/>
      <c r="H13" s="24"/>
      <c r="I13" s="24"/>
      <c r="J13" s="24"/>
      <c r="K13" s="24"/>
      <c r="L13" s="24"/>
      <c r="M13" s="24"/>
      <c r="N13" s="24"/>
      <c r="O13" s="24"/>
      <c r="P13" s="24"/>
      <c r="Q13" s="24"/>
      <c r="R13" s="24"/>
      <c r="S13" s="24"/>
      <c r="T13" s="3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row>
    <row r="14" spans="1:46" x14ac:dyDescent="0.3">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row>
    <row r="15" spans="1:46" x14ac:dyDescent="0.3">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row>
    <row r="16" spans="1:46" x14ac:dyDescent="0.3">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row>
    <row r="17" spans="1:45" x14ac:dyDescent="0.3">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row>
    <row r="18" spans="1:45" x14ac:dyDescent="0.3">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row>
    <row r="19" spans="1:45" x14ac:dyDescent="0.3">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row>
    <row r="20" spans="1:45" x14ac:dyDescent="0.3">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row>
    <row r="21" spans="1:45" x14ac:dyDescent="0.3">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row>
    <row r="22" spans="1:45" x14ac:dyDescent="0.3">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row>
    <row r="23" spans="1:45" x14ac:dyDescent="0.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row>
    <row r="24" spans="1:45" x14ac:dyDescent="0.3">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row>
    <row r="25" spans="1:45" x14ac:dyDescent="0.3">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row>
    <row r="26" spans="1:45" x14ac:dyDescent="0.3">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row>
    <row r="27" spans="1:45" x14ac:dyDescent="0.3">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row>
    <row r="28" spans="1:45" x14ac:dyDescent="0.3">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row>
    <row r="29" spans="1:45" x14ac:dyDescent="0.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row>
    <row r="30" spans="1:45" x14ac:dyDescent="0.3">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row>
    <row r="31" spans="1:45" x14ac:dyDescent="0.3">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row>
    <row r="32" spans="1:45" x14ac:dyDescent="0.3">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row>
    <row r="33" spans="1:45" x14ac:dyDescent="0.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row>
    <row r="34" spans="1:45" x14ac:dyDescent="0.3">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row>
    <row r="35" spans="1:45" x14ac:dyDescent="0.3">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row>
    <row r="36" spans="1:45" x14ac:dyDescent="0.3">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row>
    <row r="37" spans="1:45" x14ac:dyDescent="0.3">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row>
    <row r="38" spans="1:45" x14ac:dyDescent="0.3">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row>
    <row r="39" spans="1:45" x14ac:dyDescent="0.3">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row>
    <row r="40" spans="1:45" x14ac:dyDescent="0.3">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row>
    <row r="41" spans="1:45" x14ac:dyDescent="0.3">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row>
    <row r="42" spans="1:45" x14ac:dyDescent="0.3">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row>
    <row r="43" spans="1:45" x14ac:dyDescent="0.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row>
    <row r="44" spans="1:45" x14ac:dyDescent="0.3">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row>
    <row r="45" spans="1:45"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row>
    <row r="46" spans="1:45" x14ac:dyDescent="0.3">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row>
    <row r="47" spans="1:45" x14ac:dyDescent="0.3">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row>
    <row r="48" spans="1:45" x14ac:dyDescent="0.3">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row>
    <row r="49" spans="1:45" x14ac:dyDescent="0.3">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row>
    <row r="50" spans="1:45" x14ac:dyDescent="0.3">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row>
    <row r="51" spans="1:45" x14ac:dyDescent="0.3">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row>
    <row r="52" spans="1:45" x14ac:dyDescent="0.3">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row>
    <row r="53" spans="1:45" x14ac:dyDescent="0.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row>
    <row r="54" spans="1:45" x14ac:dyDescent="0.3">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row>
    <row r="55" spans="1:45" x14ac:dyDescent="0.3">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row>
    <row r="56" spans="1:45" x14ac:dyDescent="0.3">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row>
    <row r="57" spans="1:45" x14ac:dyDescent="0.3">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row>
    <row r="58" spans="1:45" x14ac:dyDescent="0.3">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row>
    <row r="59" spans="1:45" x14ac:dyDescent="0.3">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row>
    <row r="60" spans="1:45" x14ac:dyDescent="0.3">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row>
    <row r="61" spans="1:45" x14ac:dyDescent="0.3">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row>
    <row r="62" spans="1:45" x14ac:dyDescent="0.3">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row>
    <row r="63" spans="1:45" x14ac:dyDescent="0.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row>
    <row r="64" spans="1:45" x14ac:dyDescent="0.3">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row>
    <row r="65" spans="1:45" x14ac:dyDescent="0.3">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row>
    <row r="66" spans="1:45" x14ac:dyDescent="0.3">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row>
    <row r="67" spans="1:45" x14ac:dyDescent="0.3">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row>
    <row r="68" spans="1:45" x14ac:dyDescent="0.3">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row>
    <row r="69" spans="1:45" x14ac:dyDescent="0.3">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row>
    <row r="70" spans="1:45" x14ac:dyDescent="0.3">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row>
    <row r="71" spans="1:45" x14ac:dyDescent="0.3">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row>
    <row r="72" spans="1:45" x14ac:dyDescent="0.3">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row>
    <row r="73" spans="1:45" x14ac:dyDescent="0.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row>
    <row r="74" spans="1:45" x14ac:dyDescent="0.3">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row>
    <row r="75" spans="1:45" x14ac:dyDescent="0.3">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row>
    <row r="76" spans="1:45" x14ac:dyDescent="0.3">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row>
    <row r="77" spans="1:45" x14ac:dyDescent="0.3">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row>
    <row r="78" spans="1:45" x14ac:dyDescent="0.3">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row>
    <row r="79" spans="1:45" x14ac:dyDescent="0.3">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row>
    <row r="80" spans="1:45" x14ac:dyDescent="0.3">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row>
    <row r="81" spans="1:45" x14ac:dyDescent="0.3">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row>
    <row r="82" spans="1:45" x14ac:dyDescent="0.3">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row>
    <row r="83" spans="1:45" x14ac:dyDescent="0.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row>
    <row r="84" spans="1:45" x14ac:dyDescent="0.3">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row>
    <row r="85" spans="1:45" x14ac:dyDescent="0.3">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row>
    <row r="86" spans="1:45" x14ac:dyDescent="0.3">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row>
    <row r="87" spans="1:45" x14ac:dyDescent="0.3">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row>
    <row r="88" spans="1:45" x14ac:dyDescent="0.3">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row>
    <row r="89" spans="1:45" x14ac:dyDescent="0.3">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row>
    <row r="90" spans="1:45" x14ac:dyDescent="0.3">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row>
    <row r="91" spans="1:45" x14ac:dyDescent="0.3">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row>
    <row r="92" spans="1:45" x14ac:dyDescent="0.3">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row>
    <row r="93" spans="1:45" x14ac:dyDescent="0.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row>
    <row r="94" spans="1:45" x14ac:dyDescent="0.3">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row>
    <row r="95" spans="1:45" x14ac:dyDescent="0.3">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row>
    <row r="96" spans="1:45" x14ac:dyDescent="0.3">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row>
    <row r="97" spans="1:45" x14ac:dyDescent="0.3">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row>
    <row r="98" spans="1:45" x14ac:dyDescent="0.3">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row>
    <row r="99" spans="1:45" x14ac:dyDescent="0.3">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row>
    <row r="100" spans="1:45" x14ac:dyDescent="0.3">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row>
    <row r="101" spans="1:45" x14ac:dyDescent="0.3">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row>
    <row r="102" spans="1:45" x14ac:dyDescent="0.3">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row>
    <row r="103" spans="1:45" x14ac:dyDescent="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row>
    <row r="104" spans="1:45" x14ac:dyDescent="0.3">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row>
    <row r="105" spans="1:45" x14ac:dyDescent="0.3">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row>
    <row r="106" spans="1:45" x14ac:dyDescent="0.3">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row>
    <row r="107" spans="1:45" x14ac:dyDescent="0.3">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row>
    <row r="108" spans="1:45" x14ac:dyDescent="0.3">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row>
    <row r="109" spans="1:45" x14ac:dyDescent="0.3">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row>
    <row r="110" spans="1:45" x14ac:dyDescent="0.3">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row>
    <row r="111" spans="1:45" x14ac:dyDescent="0.3">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row>
    <row r="112" spans="1:45" x14ac:dyDescent="0.3">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row>
    <row r="113" spans="1:45" x14ac:dyDescent="0.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row>
    <row r="114" spans="1:45" x14ac:dyDescent="0.3">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row>
    <row r="115" spans="1:45" x14ac:dyDescent="0.3">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row>
    <row r="116" spans="1:45" x14ac:dyDescent="0.3">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row>
    <row r="117" spans="1:45" x14ac:dyDescent="0.3">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row>
    <row r="118" spans="1:45" x14ac:dyDescent="0.3">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row>
    <row r="119" spans="1:45" x14ac:dyDescent="0.3">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row>
    <row r="120" spans="1:45" x14ac:dyDescent="0.3">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row>
    <row r="121" spans="1:45" x14ac:dyDescent="0.3">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row>
    <row r="122" spans="1:45" x14ac:dyDescent="0.3">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row>
    <row r="123" spans="1:45" x14ac:dyDescent="0.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row>
    <row r="124" spans="1:45" x14ac:dyDescent="0.3">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row>
    <row r="125" spans="1:45" x14ac:dyDescent="0.3">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row>
    <row r="126" spans="1:45" x14ac:dyDescent="0.3">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row>
    <row r="127" spans="1:45" x14ac:dyDescent="0.3">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row>
    <row r="128" spans="1:45" x14ac:dyDescent="0.3">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row>
    <row r="129" spans="1:45" x14ac:dyDescent="0.3">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row>
    <row r="130" spans="1:45" x14ac:dyDescent="0.3">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row>
    <row r="131" spans="1:45" x14ac:dyDescent="0.3">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row>
    <row r="132" spans="1:45" x14ac:dyDescent="0.3">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row>
    <row r="133" spans="1:45" x14ac:dyDescent="0.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row>
    <row r="134" spans="1:45" x14ac:dyDescent="0.3">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row>
    <row r="135" spans="1:45" x14ac:dyDescent="0.3">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row>
    <row r="136" spans="1:45" x14ac:dyDescent="0.3">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row>
    <row r="137" spans="1:45" x14ac:dyDescent="0.3">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row>
    <row r="138" spans="1:45" x14ac:dyDescent="0.3">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row>
    <row r="139" spans="1:45" x14ac:dyDescent="0.3">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row>
    <row r="140" spans="1:45" x14ac:dyDescent="0.3">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row>
    <row r="141" spans="1:45" x14ac:dyDescent="0.3">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row>
    <row r="142" spans="1:45" x14ac:dyDescent="0.3">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row>
    <row r="143" spans="1:45" x14ac:dyDescent="0.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row>
    <row r="144" spans="1:45" x14ac:dyDescent="0.3">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row>
    <row r="145" spans="1:45" x14ac:dyDescent="0.3">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row>
    <row r="146" spans="1:45" x14ac:dyDescent="0.3">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row>
    <row r="147" spans="1:45" x14ac:dyDescent="0.3">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row>
    <row r="148" spans="1:45" x14ac:dyDescent="0.3">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row>
    <row r="149" spans="1:45" x14ac:dyDescent="0.3">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row>
    <row r="150" spans="1:45" x14ac:dyDescent="0.3">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row>
    <row r="151" spans="1:45" x14ac:dyDescent="0.3">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row>
    <row r="152" spans="1:45" x14ac:dyDescent="0.3">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row>
    <row r="153" spans="1:45" x14ac:dyDescent="0.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row>
    <row r="154" spans="1:45" x14ac:dyDescent="0.3">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row>
    <row r="155" spans="1:45" x14ac:dyDescent="0.3">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row>
    <row r="156" spans="1:45" x14ac:dyDescent="0.3">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row>
    <row r="157" spans="1:45" x14ac:dyDescent="0.3">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row>
    <row r="158" spans="1:45" x14ac:dyDescent="0.3">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row>
    <row r="159" spans="1:45" x14ac:dyDescent="0.3">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row>
    <row r="160" spans="1:45" x14ac:dyDescent="0.3">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row>
    <row r="161" spans="1:45" x14ac:dyDescent="0.3">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row>
    <row r="162" spans="1:45" x14ac:dyDescent="0.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row>
    <row r="163" spans="1:45" x14ac:dyDescent="0.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row>
    <row r="164" spans="1:45" x14ac:dyDescent="0.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row>
    <row r="165" spans="1:45" x14ac:dyDescent="0.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row>
    <row r="166" spans="1:45" x14ac:dyDescent="0.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row>
    <row r="167" spans="1:45" x14ac:dyDescent="0.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row>
    <row r="168" spans="1:45" x14ac:dyDescent="0.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row>
    <row r="169" spans="1:45" x14ac:dyDescent="0.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row>
    <row r="170" spans="1:45" x14ac:dyDescent="0.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row>
    <row r="171" spans="1:45" x14ac:dyDescent="0.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row>
    <row r="172" spans="1:45" x14ac:dyDescent="0.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row>
    <row r="173" spans="1:45" x14ac:dyDescent="0.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row>
    <row r="174" spans="1:45" x14ac:dyDescent="0.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row>
    <row r="175" spans="1:45" x14ac:dyDescent="0.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row>
    <row r="176" spans="1:45" x14ac:dyDescent="0.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row>
    <row r="177" spans="1:45" x14ac:dyDescent="0.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row>
    <row r="178" spans="1:45" x14ac:dyDescent="0.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row>
    <row r="179" spans="1:45" x14ac:dyDescent="0.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row>
    <row r="180" spans="1:45" x14ac:dyDescent="0.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row>
    <row r="181" spans="1:45" x14ac:dyDescent="0.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row>
    <row r="182" spans="1:45" x14ac:dyDescent="0.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row>
    <row r="183" spans="1:45" x14ac:dyDescent="0.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row>
    <row r="184" spans="1:45" x14ac:dyDescent="0.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row>
    <row r="185" spans="1:45" x14ac:dyDescent="0.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row>
    <row r="186" spans="1:45" x14ac:dyDescent="0.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row>
    <row r="187" spans="1:45" x14ac:dyDescent="0.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row>
    <row r="188" spans="1:45" x14ac:dyDescent="0.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row>
    <row r="189" spans="1:45" x14ac:dyDescent="0.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row>
    <row r="190" spans="1:45" x14ac:dyDescent="0.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row>
    <row r="191" spans="1:45" x14ac:dyDescent="0.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row>
    <row r="192" spans="1:45" x14ac:dyDescent="0.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row>
    <row r="193" spans="1:45" x14ac:dyDescent="0.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row>
    <row r="194" spans="1:45" x14ac:dyDescent="0.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row>
    <row r="195" spans="1:45" x14ac:dyDescent="0.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row>
    <row r="196" spans="1:45" x14ac:dyDescent="0.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row>
    <row r="197" spans="1:45" x14ac:dyDescent="0.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row>
    <row r="198" spans="1:45" x14ac:dyDescent="0.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row>
    <row r="199" spans="1:45" x14ac:dyDescent="0.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row>
    <row r="200" spans="1:45" x14ac:dyDescent="0.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row>
    <row r="201" spans="1:45" x14ac:dyDescent="0.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row>
    <row r="202" spans="1:45" x14ac:dyDescent="0.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row>
    <row r="203" spans="1:45" x14ac:dyDescent="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row>
    <row r="204" spans="1:45" x14ac:dyDescent="0.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row>
    <row r="205" spans="1:45" x14ac:dyDescent="0.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row>
    <row r="206" spans="1:45" x14ac:dyDescent="0.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row>
    <row r="207" spans="1:45" x14ac:dyDescent="0.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row>
    <row r="208" spans="1:45" x14ac:dyDescent="0.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row>
    <row r="209" spans="1:45" x14ac:dyDescent="0.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row>
    <row r="210" spans="1:45" x14ac:dyDescent="0.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row>
    <row r="211" spans="1:45" x14ac:dyDescent="0.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row>
    <row r="212" spans="1:45" x14ac:dyDescent="0.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row>
    <row r="213" spans="1:45" x14ac:dyDescent="0.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row>
    <row r="214" spans="1:45" x14ac:dyDescent="0.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row>
    <row r="215" spans="1:45" x14ac:dyDescent="0.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row>
    <row r="216" spans="1:45" x14ac:dyDescent="0.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row>
    <row r="217" spans="1:45" x14ac:dyDescent="0.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row>
    <row r="218" spans="1:45" x14ac:dyDescent="0.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row>
    <row r="219" spans="1:45" x14ac:dyDescent="0.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row>
    <row r="220" spans="1:45" x14ac:dyDescent="0.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row>
    <row r="221" spans="1:45" x14ac:dyDescent="0.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row>
    <row r="222" spans="1:45" x14ac:dyDescent="0.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row>
    <row r="223" spans="1:45" x14ac:dyDescent="0.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row>
    <row r="224" spans="1:45" x14ac:dyDescent="0.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row>
    <row r="225" spans="1:45" x14ac:dyDescent="0.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row>
    <row r="226" spans="1:45" x14ac:dyDescent="0.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row>
    <row r="227" spans="1:45" x14ac:dyDescent="0.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row>
    <row r="228" spans="1:45" x14ac:dyDescent="0.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row>
    <row r="229" spans="1:45" x14ac:dyDescent="0.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row>
    <row r="230" spans="1:45" x14ac:dyDescent="0.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row>
    <row r="231" spans="1:45" x14ac:dyDescent="0.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row>
    <row r="232" spans="1:45" x14ac:dyDescent="0.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row>
    <row r="233" spans="1:45" x14ac:dyDescent="0.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row>
    <row r="234" spans="1:45" x14ac:dyDescent="0.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row>
    <row r="235" spans="1:45" x14ac:dyDescent="0.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row>
    <row r="236" spans="1:45" x14ac:dyDescent="0.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row>
    <row r="237" spans="1:45" x14ac:dyDescent="0.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row>
    <row r="238" spans="1:45" x14ac:dyDescent="0.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row>
    <row r="239" spans="1:45" x14ac:dyDescent="0.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row>
    <row r="240" spans="1:45" x14ac:dyDescent="0.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row>
    <row r="241" spans="1:45" x14ac:dyDescent="0.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row>
    <row r="242" spans="1:45" x14ac:dyDescent="0.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row>
    <row r="243" spans="1:45" x14ac:dyDescent="0.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row>
    <row r="244" spans="1:45" x14ac:dyDescent="0.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row>
    <row r="245" spans="1:45" x14ac:dyDescent="0.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row>
    <row r="246" spans="1:45" x14ac:dyDescent="0.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row>
    <row r="247" spans="1:45" x14ac:dyDescent="0.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row>
    <row r="248" spans="1:45" x14ac:dyDescent="0.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row>
    <row r="249" spans="1:45" x14ac:dyDescent="0.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3F96-CE84-4F4E-A94A-98A62DE0778B}">
  <dimension ref="B2:V22"/>
  <sheetViews>
    <sheetView showGridLines="0" workbookViewId="0">
      <selection activeCell="J31" sqref="J31"/>
    </sheetView>
  </sheetViews>
  <sheetFormatPr defaultRowHeight="14.4" x14ac:dyDescent="0.3"/>
  <sheetData>
    <row r="2" spans="2:22" ht="25.8" x14ac:dyDescent="0.5">
      <c r="B2" s="33" t="s">
        <v>346</v>
      </c>
      <c r="C2" s="29"/>
      <c r="D2" s="29"/>
      <c r="E2" s="29"/>
      <c r="F2" s="29"/>
      <c r="G2" s="29"/>
      <c r="H2" s="29"/>
      <c r="I2" s="29"/>
      <c r="J2" s="29"/>
      <c r="K2" s="29"/>
      <c r="L2" s="29"/>
      <c r="M2" s="29"/>
      <c r="N2" s="29"/>
      <c r="O2" s="29"/>
      <c r="P2" s="29"/>
      <c r="Q2" s="29"/>
      <c r="R2" s="29"/>
      <c r="S2" s="29"/>
      <c r="T2" s="29"/>
      <c r="U2" s="29"/>
      <c r="V2" s="29"/>
    </row>
    <row r="3" spans="2:22" x14ac:dyDescent="0.3">
      <c r="B3" s="29"/>
      <c r="C3" s="29"/>
      <c r="D3" s="29"/>
      <c r="E3" s="29"/>
      <c r="F3" s="29"/>
      <c r="G3" s="29"/>
      <c r="H3" s="29"/>
      <c r="I3" s="29"/>
      <c r="J3" s="29"/>
      <c r="K3" s="29"/>
      <c r="L3" s="29"/>
      <c r="M3" s="29"/>
      <c r="N3" s="29"/>
      <c r="O3" s="29"/>
      <c r="P3" s="29"/>
      <c r="Q3" s="29"/>
      <c r="R3" s="29"/>
      <c r="S3" s="29"/>
      <c r="T3" s="29"/>
      <c r="U3" s="29"/>
      <c r="V3" s="29"/>
    </row>
    <row r="4" spans="2:22" x14ac:dyDescent="0.3">
      <c r="B4" s="29" t="s">
        <v>347</v>
      </c>
      <c r="C4" s="29"/>
      <c r="D4" s="29"/>
      <c r="E4" s="29"/>
      <c r="F4" s="29"/>
      <c r="G4" s="29"/>
      <c r="H4" s="29"/>
      <c r="I4" s="29"/>
      <c r="J4" s="29"/>
      <c r="K4" s="29"/>
      <c r="L4" s="29"/>
      <c r="M4" s="29"/>
      <c r="N4" s="29"/>
      <c r="O4" s="29"/>
      <c r="P4" s="29"/>
      <c r="Q4" s="29"/>
      <c r="R4" s="29"/>
      <c r="S4" s="29"/>
      <c r="T4" s="29"/>
      <c r="U4" s="29"/>
      <c r="V4" s="29"/>
    </row>
    <row r="5" spans="2:22" x14ac:dyDescent="0.3">
      <c r="B5" s="29" t="s">
        <v>348</v>
      </c>
      <c r="C5" s="29"/>
      <c r="D5" s="29"/>
      <c r="E5" s="29"/>
      <c r="F5" s="29"/>
      <c r="G5" s="29"/>
      <c r="H5" s="29"/>
      <c r="I5" s="29"/>
      <c r="J5" s="29"/>
      <c r="K5" s="29"/>
      <c r="L5" s="29"/>
      <c r="M5" s="29"/>
      <c r="N5" s="29"/>
      <c r="O5" s="29"/>
      <c r="P5" s="29"/>
      <c r="Q5" s="29"/>
      <c r="R5" s="29"/>
      <c r="S5" s="29"/>
      <c r="T5" s="29"/>
      <c r="U5" s="29"/>
      <c r="V5" s="29"/>
    </row>
    <row r="6" spans="2:22" x14ac:dyDescent="0.3">
      <c r="B6" s="29"/>
      <c r="C6" s="29"/>
      <c r="D6" s="29"/>
      <c r="E6" s="29"/>
      <c r="F6" s="29"/>
      <c r="G6" s="29"/>
      <c r="H6" s="29"/>
      <c r="I6" s="29"/>
      <c r="J6" s="29"/>
      <c r="K6" s="29"/>
      <c r="L6" s="29"/>
      <c r="M6" s="29"/>
      <c r="N6" s="29"/>
      <c r="O6" s="29"/>
      <c r="P6" s="29"/>
      <c r="Q6" s="29"/>
      <c r="R6" s="29"/>
      <c r="S6" s="29"/>
      <c r="T6" s="29"/>
      <c r="U6" s="29"/>
      <c r="V6" s="29"/>
    </row>
    <row r="7" spans="2:22" x14ac:dyDescent="0.3">
      <c r="B7" s="29"/>
      <c r="C7" s="29"/>
      <c r="D7" s="29"/>
      <c r="E7" s="29"/>
      <c r="F7" s="29"/>
      <c r="G7" s="29"/>
      <c r="H7" s="29"/>
      <c r="I7" s="29"/>
      <c r="J7" s="29"/>
      <c r="K7" s="29"/>
      <c r="L7" s="29"/>
      <c r="M7" s="29"/>
      <c r="N7" s="29"/>
      <c r="O7" s="29"/>
      <c r="P7" s="29"/>
      <c r="Q7" s="29"/>
      <c r="R7" s="29"/>
      <c r="S7" s="29"/>
      <c r="T7" s="29"/>
      <c r="U7" s="29"/>
      <c r="V7" s="29"/>
    </row>
    <row r="8" spans="2:22" x14ac:dyDescent="0.3">
      <c r="B8" s="29" t="s">
        <v>349</v>
      </c>
      <c r="C8" s="29"/>
      <c r="D8" s="29"/>
      <c r="E8" s="29"/>
      <c r="F8" s="29"/>
      <c r="G8" s="29"/>
      <c r="H8" s="29"/>
      <c r="I8" s="29"/>
      <c r="J8" s="29"/>
      <c r="K8" s="29"/>
      <c r="L8" s="29"/>
      <c r="M8" s="29"/>
      <c r="N8" s="29"/>
      <c r="O8" s="29"/>
      <c r="P8" s="29"/>
      <c r="Q8" s="29"/>
      <c r="R8" s="29"/>
      <c r="S8" s="29"/>
      <c r="T8" s="29"/>
      <c r="U8" s="29"/>
      <c r="V8" s="29"/>
    </row>
    <row r="9" spans="2:22" x14ac:dyDescent="0.3">
      <c r="B9" s="29" t="s">
        <v>350</v>
      </c>
      <c r="C9" s="29"/>
      <c r="D9" s="29"/>
      <c r="E9" s="29"/>
      <c r="F9" s="29"/>
      <c r="G9" s="29"/>
      <c r="H9" s="29"/>
      <c r="I9" s="29"/>
      <c r="J9" s="29"/>
      <c r="K9" s="29"/>
      <c r="L9" s="29"/>
      <c r="M9" s="29"/>
      <c r="N9" s="29"/>
      <c r="O9" s="29"/>
      <c r="P9" s="29"/>
      <c r="Q9" s="29"/>
      <c r="R9" s="29"/>
      <c r="S9" s="29"/>
      <c r="T9" s="29"/>
      <c r="U9" s="29"/>
      <c r="V9" s="29"/>
    </row>
    <row r="10" spans="2:22" x14ac:dyDescent="0.3">
      <c r="B10" s="29"/>
      <c r="C10" s="29"/>
      <c r="D10" s="29"/>
      <c r="E10" s="29"/>
      <c r="F10" s="29"/>
      <c r="G10" s="29"/>
      <c r="H10" s="29"/>
      <c r="I10" s="29"/>
      <c r="J10" s="29"/>
      <c r="K10" s="29"/>
      <c r="L10" s="29"/>
      <c r="M10" s="29"/>
      <c r="N10" s="29"/>
      <c r="O10" s="29"/>
      <c r="P10" s="29"/>
      <c r="Q10" s="29"/>
      <c r="R10" s="29"/>
      <c r="S10" s="29"/>
      <c r="T10" s="29"/>
      <c r="U10" s="29"/>
      <c r="V10" s="29"/>
    </row>
    <row r="11" spans="2:22" x14ac:dyDescent="0.3">
      <c r="B11" s="29"/>
      <c r="C11" s="29"/>
      <c r="D11" s="29"/>
      <c r="E11" s="29"/>
      <c r="F11" s="29"/>
      <c r="G11" s="29"/>
      <c r="H11" s="29"/>
      <c r="I11" s="29"/>
      <c r="J11" s="29"/>
      <c r="K11" s="29"/>
      <c r="L11" s="29"/>
      <c r="M11" s="29"/>
      <c r="N11" s="29"/>
      <c r="O11" s="29"/>
      <c r="P11" s="29"/>
      <c r="Q11" s="29"/>
      <c r="R11" s="29"/>
      <c r="S11" s="29"/>
      <c r="T11" s="29"/>
      <c r="U11" s="29"/>
      <c r="V11" s="29"/>
    </row>
    <row r="12" spans="2:22" x14ac:dyDescent="0.3">
      <c r="B12" s="29" t="s">
        <v>351</v>
      </c>
      <c r="C12" s="29"/>
      <c r="D12" s="29"/>
      <c r="E12" s="29"/>
      <c r="F12" s="29"/>
      <c r="G12" s="29"/>
      <c r="H12" s="29"/>
      <c r="I12" s="29"/>
      <c r="J12" s="29"/>
      <c r="K12" s="29"/>
      <c r="L12" s="29"/>
      <c r="M12" s="29"/>
      <c r="N12" s="29"/>
      <c r="O12" s="29"/>
      <c r="P12" s="29"/>
      <c r="Q12" s="29"/>
      <c r="R12" s="29"/>
      <c r="S12" s="29"/>
      <c r="T12" s="29"/>
      <c r="U12" s="29"/>
      <c r="V12" s="29"/>
    </row>
    <row r="13" spans="2:22" x14ac:dyDescent="0.3">
      <c r="B13" s="29" t="s">
        <v>352</v>
      </c>
      <c r="C13" s="29"/>
      <c r="D13" s="29"/>
      <c r="E13" s="29"/>
      <c r="F13" s="29"/>
      <c r="G13" s="29"/>
      <c r="H13" s="29"/>
      <c r="I13" s="29"/>
      <c r="J13" s="29"/>
      <c r="K13" s="29"/>
      <c r="L13" s="29"/>
      <c r="M13" s="29"/>
      <c r="N13" s="29"/>
      <c r="O13" s="29"/>
      <c r="P13" s="29"/>
      <c r="Q13" s="29"/>
      <c r="R13" s="29"/>
      <c r="S13" s="29"/>
      <c r="T13" s="29"/>
      <c r="U13" s="29"/>
      <c r="V13" s="29"/>
    </row>
    <row r="14" spans="2:22" x14ac:dyDescent="0.3">
      <c r="B14" s="29"/>
      <c r="C14" s="29"/>
      <c r="D14" s="29"/>
      <c r="E14" s="29"/>
      <c r="F14" s="29"/>
      <c r="G14" s="29"/>
      <c r="H14" s="29"/>
      <c r="I14" s="29"/>
      <c r="J14" s="29"/>
      <c r="K14" s="29"/>
      <c r="L14" s="29"/>
      <c r="M14" s="29"/>
      <c r="N14" s="29"/>
      <c r="O14" s="29"/>
      <c r="P14" s="29"/>
      <c r="Q14" s="29"/>
      <c r="R14" s="29"/>
      <c r="S14" s="29"/>
      <c r="T14" s="29"/>
      <c r="U14" s="29"/>
      <c r="V14" s="29"/>
    </row>
    <row r="15" spans="2:22" x14ac:dyDescent="0.3">
      <c r="B15" s="29"/>
      <c r="C15" s="29"/>
      <c r="D15" s="29"/>
      <c r="E15" s="29"/>
      <c r="F15" s="29"/>
      <c r="G15" s="29"/>
      <c r="H15" s="29"/>
      <c r="I15" s="29"/>
      <c r="J15" s="29"/>
      <c r="K15" s="29"/>
      <c r="L15" s="29"/>
      <c r="M15" s="29"/>
      <c r="N15" s="29"/>
      <c r="O15" s="29"/>
      <c r="P15" s="29"/>
      <c r="Q15" s="29"/>
      <c r="R15" s="29"/>
      <c r="S15" s="29"/>
      <c r="T15" s="29"/>
      <c r="U15" s="29"/>
      <c r="V15" s="29"/>
    </row>
    <row r="16" spans="2:22" x14ac:dyDescent="0.3">
      <c r="B16" s="29" t="s">
        <v>353</v>
      </c>
      <c r="C16" s="29"/>
      <c r="D16" s="29"/>
      <c r="E16" s="29"/>
      <c r="F16" s="29"/>
      <c r="G16" s="29"/>
      <c r="H16" s="29"/>
      <c r="I16" s="29"/>
      <c r="J16" s="29"/>
      <c r="K16" s="29"/>
      <c r="L16" s="29"/>
      <c r="M16" s="29"/>
      <c r="N16" s="29"/>
      <c r="O16" s="29"/>
      <c r="P16" s="29"/>
      <c r="Q16" s="29"/>
      <c r="R16" s="29"/>
      <c r="S16" s="29"/>
      <c r="T16" s="29"/>
      <c r="U16" s="29"/>
      <c r="V16" s="29"/>
    </row>
    <row r="17" spans="2:22" x14ac:dyDescent="0.3">
      <c r="B17" s="29" t="s">
        <v>354</v>
      </c>
      <c r="C17" s="29"/>
      <c r="D17" s="29"/>
      <c r="E17" s="29"/>
      <c r="F17" s="29"/>
      <c r="G17" s="29"/>
      <c r="H17" s="29"/>
      <c r="I17" s="29"/>
      <c r="J17" s="29"/>
      <c r="K17" s="29"/>
      <c r="L17" s="29"/>
      <c r="M17" s="29"/>
      <c r="N17" s="29"/>
      <c r="O17" s="29"/>
      <c r="P17" s="29"/>
      <c r="Q17" s="29"/>
      <c r="R17" s="29"/>
      <c r="S17" s="29"/>
      <c r="T17" s="29"/>
      <c r="U17" s="29"/>
      <c r="V17" s="29"/>
    </row>
    <row r="18" spans="2:22" x14ac:dyDescent="0.3">
      <c r="B18" s="29"/>
      <c r="C18" s="29"/>
      <c r="D18" s="29"/>
      <c r="E18" s="29"/>
      <c r="F18" s="29"/>
      <c r="G18" s="29"/>
      <c r="H18" s="29"/>
      <c r="I18" s="29"/>
      <c r="J18" s="29"/>
      <c r="K18" s="29"/>
      <c r="L18" s="29"/>
      <c r="M18" s="29"/>
      <c r="N18" s="29"/>
      <c r="O18" s="29"/>
      <c r="P18" s="29"/>
      <c r="Q18" s="29"/>
      <c r="R18" s="29"/>
      <c r="S18" s="29"/>
      <c r="T18" s="29"/>
      <c r="U18" s="29"/>
      <c r="V18" s="29"/>
    </row>
    <row r="19" spans="2:22" x14ac:dyDescent="0.3">
      <c r="B19" s="29"/>
      <c r="C19" s="29"/>
      <c r="D19" s="29"/>
      <c r="E19" s="29"/>
      <c r="F19" s="29"/>
      <c r="G19" s="29"/>
      <c r="H19" s="29"/>
      <c r="I19" s="29"/>
      <c r="J19" s="29"/>
      <c r="K19" s="29"/>
      <c r="L19" s="29"/>
      <c r="M19" s="29"/>
      <c r="N19" s="29"/>
      <c r="O19" s="29"/>
      <c r="P19" s="29"/>
      <c r="Q19" s="29"/>
      <c r="R19" s="29"/>
      <c r="S19" s="29"/>
      <c r="T19" s="29"/>
      <c r="U19" s="29"/>
      <c r="V19" s="29"/>
    </row>
    <row r="20" spans="2:22" x14ac:dyDescent="0.3">
      <c r="B20" s="29" t="s">
        <v>355</v>
      </c>
      <c r="C20" s="29"/>
      <c r="D20" s="29"/>
      <c r="E20" s="29"/>
      <c r="F20" s="29"/>
      <c r="G20" s="29"/>
      <c r="H20" s="29"/>
      <c r="I20" s="29"/>
      <c r="J20" s="29"/>
      <c r="K20" s="29"/>
      <c r="L20" s="29"/>
      <c r="M20" s="29"/>
      <c r="N20" s="29"/>
      <c r="O20" s="29"/>
      <c r="P20" s="29"/>
      <c r="Q20" s="29"/>
      <c r="R20" s="29"/>
      <c r="S20" s="29"/>
      <c r="T20" s="29"/>
      <c r="U20" s="29"/>
      <c r="V20" s="29"/>
    </row>
    <row r="21" spans="2:22" x14ac:dyDescent="0.3">
      <c r="B21" s="29" t="s">
        <v>356</v>
      </c>
      <c r="C21" s="29"/>
      <c r="D21" s="29"/>
      <c r="E21" s="29"/>
      <c r="F21" s="29"/>
      <c r="G21" s="29"/>
      <c r="H21" s="29"/>
      <c r="I21" s="29"/>
      <c r="J21" s="29"/>
      <c r="K21" s="29"/>
      <c r="L21" s="29"/>
      <c r="M21" s="29"/>
      <c r="N21" s="29"/>
      <c r="O21" s="29"/>
      <c r="P21" s="29"/>
      <c r="Q21" s="29"/>
      <c r="R21" s="29"/>
      <c r="S21" s="29"/>
      <c r="T21" s="29"/>
      <c r="U21" s="29"/>
      <c r="V21" s="29"/>
    </row>
    <row r="22" spans="2:22" x14ac:dyDescent="0.3">
      <c r="B22" s="29"/>
      <c r="C22" s="29"/>
      <c r="D22" s="29"/>
      <c r="E22" s="29"/>
      <c r="F22" s="29"/>
      <c r="G22" s="29"/>
      <c r="H22" s="29"/>
      <c r="I22" s="29"/>
      <c r="J22" s="29"/>
      <c r="K22" s="29"/>
      <c r="L22" s="29"/>
      <c r="M22" s="29"/>
      <c r="N22" s="29"/>
      <c r="O22" s="29"/>
      <c r="P22" s="29"/>
      <c r="Q22" s="29"/>
      <c r="R22" s="29"/>
      <c r="S22" s="29"/>
      <c r="T22" s="29"/>
      <c r="U22" s="29"/>
      <c r="V2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Orders</vt:lpstr>
      <vt:lpstr>Product Master</vt:lpstr>
      <vt:lpstr>Region Master</vt:lpstr>
      <vt:lpstr>Customer Master</vt:lpstr>
      <vt:lpstr>2.1</vt:lpstr>
      <vt:lpstr>2.2</vt:lpstr>
      <vt:lpstr>4.2</vt:lpstr>
      <vt:lpstr>2.3,2.4</vt:lpstr>
      <vt:lpstr>4.3.1</vt:lpstr>
      <vt:lpstr>4.1</vt:lpstr>
      <vt:lpstr>4.3.2</vt:lpstr>
      <vt:lpstr>4.3.3</vt:lpstr>
      <vt:lpstr>4.3.4</vt:lpstr>
      <vt:lpstr>Region</vt:lpstr>
      <vt:lpstr>Payment method</vt:lpstr>
      <vt:lpstr>Delivery status</vt:lpstr>
      <vt:lpstr>Sales by months</vt:lpstr>
      <vt:lpstr>DASHBOARD</vt:lpstr>
      <vt:lpstr>Brainstorming 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NIRAJ DAS</cp:lastModifiedBy>
  <dcterms:created xsi:type="dcterms:W3CDTF">2015-06-05T18:17:20Z</dcterms:created>
  <dcterms:modified xsi:type="dcterms:W3CDTF">2026-03-29T15:14:01Z</dcterms:modified>
</cp:coreProperties>
</file>