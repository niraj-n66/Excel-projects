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bfea5ac3f65cab/CAREER247/Solved/Excel/"/>
    </mc:Choice>
  </mc:AlternateContent>
  <xr:revisionPtr revIDLastSave="2" documentId="13_ncr:1_{66364CAA-4F25-472F-8858-08AD65CC4BB6}" xr6:coauthVersionLast="47" xr6:coauthVersionMax="47" xr10:uidLastSave="{E779525A-D759-4F78-99B7-3BB5DB0BB250}"/>
  <bookViews>
    <workbookView xWindow="-108" yWindow="-108" windowWidth="23256" windowHeight="12456" xr2:uid="{FF6CB653-6220-46B0-810F-8784E2C55212}"/>
  </bookViews>
  <sheets>
    <sheet name="data" sheetId="1" r:id="rId1"/>
    <sheet name="Sheet1" sheetId="2" r:id="rId2"/>
    <sheet name="Sheet3" sheetId="4" r:id="rId3"/>
    <sheet name="Sheet2" sheetId="3" r:id="rId4"/>
    <sheet name="Sheet4" sheetId="5" r:id="rId5"/>
    <sheet name="Sheet6" sheetId="7" r:id="rId6"/>
    <sheet name="Sheet7" sheetId="8" r:id="rId7"/>
    <sheet name="Sheet9" sheetId="10" r:id="rId8"/>
    <sheet name="Sheet8" sheetId="9" r:id="rId9"/>
  </sheets>
  <definedNames>
    <definedName name="_xlnm._FilterDatabase" localSheetId="0" hidden="1">data!$L$1:$L$188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" i="8" l="1"/>
  <c r="C4" i="7"/>
  <c r="L18" i="1" a="1"/>
  <c r="L18" i="1" s="1"/>
  <c r="M18" i="1" s="1" a="1"/>
  <c r="M18" i="1" s="1"/>
  <c r="L19" i="1" a="1"/>
  <c r="L19" i="1" s="1"/>
  <c r="M19" i="1" s="1" a="1"/>
  <c r="M19" i="1" s="1"/>
  <c r="L63" i="1" a="1"/>
  <c r="L63" i="1" s="1"/>
  <c r="M63" i="1" s="1" a="1"/>
  <c r="M63" i="1" s="1"/>
  <c r="L114" i="1" a="1"/>
  <c r="L114" i="1" s="1"/>
  <c r="M114" i="1" s="1" a="1"/>
  <c r="M114" i="1" s="1"/>
  <c r="L115" i="1" a="1"/>
  <c r="L115" i="1" s="1"/>
  <c r="M115" i="1" s="1" a="1"/>
  <c r="M115" i="1" s="1"/>
  <c r="L147" i="1" a="1"/>
  <c r="L147" i="1" s="1"/>
  <c r="M147" i="1" s="1" a="1"/>
  <c r="M147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2" i="1"/>
  <c r="I3" i="1"/>
  <c r="L3" i="1" s="1" a="1"/>
  <c r="L3" i="1" s="1"/>
  <c r="M3" i="1" s="1" a="1"/>
  <c r="M3" i="1" s="1"/>
  <c r="I4" i="1"/>
  <c r="L4" i="1" s="1" a="1"/>
  <c r="L4" i="1" s="1"/>
  <c r="M4" i="1" s="1" a="1"/>
  <c r="M4" i="1" s="1"/>
  <c r="I5" i="1"/>
  <c r="L5" i="1" s="1" a="1"/>
  <c r="L5" i="1" s="1"/>
  <c r="M5" i="1" s="1" a="1"/>
  <c r="M5" i="1" s="1"/>
  <c r="I6" i="1"/>
  <c r="L6" i="1" s="1" a="1"/>
  <c r="L6" i="1" s="1"/>
  <c r="M6" i="1" s="1" a="1"/>
  <c r="M6" i="1" s="1"/>
  <c r="I7" i="1"/>
  <c r="L7" i="1" s="1" a="1"/>
  <c r="L7" i="1" s="1"/>
  <c r="M7" i="1" s="1" a="1"/>
  <c r="M7" i="1" s="1"/>
  <c r="I8" i="1"/>
  <c r="L8" i="1" s="1" a="1"/>
  <c r="L8" i="1" s="1"/>
  <c r="M8" i="1" s="1" a="1"/>
  <c r="M8" i="1" s="1"/>
  <c r="I9" i="1"/>
  <c r="L9" i="1" s="1" a="1"/>
  <c r="L9" i="1" s="1"/>
  <c r="M9" i="1" s="1" a="1"/>
  <c r="M9" i="1" s="1"/>
  <c r="I10" i="1"/>
  <c r="L10" i="1" s="1" a="1"/>
  <c r="L10" i="1" s="1"/>
  <c r="M10" i="1" s="1" a="1"/>
  <c r="M10" i="1" s="1"/>
  <c r="I11" i="1"/>
  <c r="L11" i="1" s="1" a="1"/>
  <c r="L11" i="1" s="1"/>
  <c r="M11" i="1" s="1" a="1"/>
  <c r="M11" i="1" s="1"/>
  <c r="I12" i="1"/>
  <c r="L12" i="1" s="1" a="1"/>
  <c r="L12" i="1" s="1"/>
  <c r="M12" i="1" s="1" a="1"/>
  <c r="M12" i="1" s="1"/>
  <c r="I13" i="1"/>
  <c r="L13" i="1" s="1" a="1"/>
  <c r="L13" i="1" s="1"/>
  <c r="M13" i="1" s="1" a="1"/>
  <c r="M13" i="1" s="1"/>
  <c r="I14" i="1"/>
  <c r="L14" i="1" s="1" a="1"/>
  <c r="L14" i="1" s="1"/>
  <c r="M14" i="1" s="1" a="1"/>
  <c r="M14" i="1" s="1"/>
  <c r="I15" i="1"/>
  <c r="L15" i="1" s="1" a="1"/>
  <c r="L15" i="1" s="1"/>
  <c r="M15" i="1" s="1" a="1"/>
  <c r="M15" i="1" s="1"/>
  <c r="I16" i="1"/>
  <c r="L16" i="1" s="1" a="1"/>
  <c r="L16" i="1" s="1"/>
  <c r="M16" i="1" s="1" a="1"/>
  <c r="M16" i="1" s="1"/>
  <c r="I17" i="1"/>
  <c r="L17" i="1" s="1" a="1"/>
  <c r="L17" i="1" s="1"/>
  <c r="M17" i="1" s="1" a="1"/>
  <c r="M17" i="1" s="1"/>
  <c r="I18" i="1"/>
  <c r="I19" i="1"/>
  <c r="I20" i="1"/>
  <c r="L20" i="1" s="1" a="1"/>
  <c r="L20" i="1" s="1"/>
  <c r="M20" i="1" s="1" a="1"/>
  <c r="M20" i="1" s="1"/>
  <c r="I21" i="1"/>
  <c r="L21" i="1" s="1" a="1"/>
  <c r="L21" i="1" s="1"/>
  <c r="M21" i="1" s="1" a="1"/>
  <c r="M21" i="1" s="1"/>
  <c r="I22" i="1"/>
  <c r="L22" i="1" s="1" a="1"/>
  <c r="L22" i="1" s="1"/>
  <c r="M22" i="1" s="1" a="1"/>
  <c r="M22" i="1" s="1"/>
  <c r="I23" i="1"/>
  <c r="L23" i="1" s="1" a="1"/>
  <c r="L23" i="1" s="1"/>
  <c r="M23" i="1" s="1" a="1"/>
  <c r="M23" i="1" s="1"/>
  <c r="I24" i="1"/>
  <c r="L24" i="1" s="1" a="1"/>
  <c r="L24" i="1" s="1"/>
  <c r="M24" i="1" s="1" a="1"/>
  <c r="M24" i="1" s="1"/>
  <c r="I25" i="1"/>
  <c r="L25" i="1" s="1" a="1"/>
  <c r="L25" i="1" s="1"/>
  <c r="M25" i="1" s="1" a="1"/>
  <c r="M25" i="1" s="1"/>
  <c r="I26" i="1"/>
  <c r="L26" i="1" s="1" a="1"/>
  <c r="L26" i="1" s="1"/>
  <c r="M26" i="1" s="1" a="1"/>
  <c r="M26" i="1" s="1"/>
  <c r="I27" i="1"/>
  <c r="L27" i="1" s="1" a="1"/>
  <c r="L27" i="1" s="1"/>
  <c r="M27" i="1" s="1" a="1"/>
  <c r="M27" i="1" s="1"/>
  <c r="I28" i="1"/>
  <c r="L28" i="1" s="1" a="1"/>
  <c r="L28" i="1" s="1"/>
  <c r="M28" i="1" s="1" a="1"/>
  <c r="M28" i="1" s="1"/>
  <c r="I29" i="1"/>
  <c r="L29" i="1" s="1" a="1"/>
  <c r="L29" i="1" s="1"/>
  <c r="M29" i="1" s="1" a="1"/>
  <c r="M29" i="1" s="1"/>
  <c r="I30" i="1"/>
  <c r="L30" i="1" s="1" a="1"/>
  <c r="L30" i="1" s="1"/>
  <c r="M30" i="1" s="1" a="1"/>
  <c r="M30" i="1" s="1"/>
  <c r="I31" i="1"/>
  <c r="L31" i="1" s="1" a="1"/>
  <c r="L31" i="1" s="1"/>
  <c r="M31" i="1" s="1" a="1"/>
  <c r="M31" i="1" s="1"/>
  <c r="I32" i="1"/>
  <c r="L32" i="1" s="1" a="1"/>
  <c r="L32" i="1" s="1"/>
  <c r="M32" i="1" s="1" a="1"/>
  <c r="M32" i="1" s="1"/>
  <c r="I33" i="1"/>
  <c r="L33" i="1" s="1" a="1"/>
  <c r="L33" i="1" s="1"/>
  <c r="M33" i="1" s="1" a="1"/>
  <c r="M33" i="1" s="1"/>
  <c r="I34" i="1"/>
  <c r="L34" i="1" s="1" a="1"/>
  <c r="L34" i="1" s="1"/>
  <c r="M34" i="1" s="1" a="1"/>
  <c r="M34" i="1" s="1"/>
  <c r="I35" i="1"/>
  <c r="L35" i="1" s="1" a="1"/>
  <c r="L35" i="1" s="1"/>
  <c r="M35" i="1" s="1" a="1"/>
  <c r="M35" i="1" s="1"/>
  <c r="I36" i="1"/>
  <c r="L36" i="1" s="1" a="1"/>
  <c r="L36" i="1" s="1"/>
  <c r="M36" i="1" s="1" a="1"/>
  <c r="M36" i="1" s="1"/>
  <c r="I37" i="1"/>
  <c r="L37" i="1" s="1" a="1"/>
  <c r="L37" i="1" s="1"/>
  <c r="M37" i="1" s="1" a="1"/>
  <c r="M37" i="1" s="1"/>
  <c r="I38" i="1"/>
  <c r="L38" i="1" s="1" a="1"/>
  <c r="L38" i="1" s="1"/>
  <c r="M38" i="1" s="1" a="1"/>
  <c r="M38" i="1" s="1"/>
  <c r="I39" i="1"/>
  <c r="L39" i="1" s="1" a="1"/>
  <c r="L39" i="1" s="1"/>
  <c r="M39" i="1" s="1" a="1"/>
  <c r="M39" i="1" s="1"/>
  <c r="I40" i="1"/>
  <c r="L40" i="1" s="1" a="1"/>
  <c r="L40" i="1" s="1"/>
  <c r="M40" i="1" s="1" a="1"/>
  <c r="M40" i="1" s="1"/>
  <c r="I41" i="1"/>
  <c r="L41" i="1" s="1" a="1"/>
  <c r="L41" i="1" s="1"/>
  <c r="M41" i="1" s="1" a="1"/>
  <c r="M41" i="1" s="1"/>
  <c r="I42" i="1"/>
  <c r="L42" i="1" s="1" a="1"/>
  <c r="L42" i="1" s="1"/>
  <c r="M42" i="1" s="1" a="1"/>
  <c r="M42" i="1" s="1"/>
  <c r="I43" i="1"/>
  <c r="L43" i="1" s="1" a="1"/>
  <c r="L43" i="1" s="1"/>
  <c r="M43" i="1" s="1" a="1"/>
  <c r="M43" i="1" s="1"/>
  <c r="I44" i="1"/>
  <c r="L44" i="1" s="1" a="1"/>
  <c r="L44" i="1" s="1"/>
  <c r="M44" i="1" s="1" a="1"/>
  <c r="M44" i="1" s="1"/>
  <c r="I45" i="1"/>
  <c r="L45" i="1" s="1" a="1"/>
  <c r="L45" i="1" s="1"/>
  <c r="M45" i="1" s="1" a="1"/>
  <c r="M45" i="1" s="1"/>
  <c r="I46" i="1"/>
  <c r="L46" i="1" s="1" a="1"/>
  <c r="L46" i="1" s="1"/>
  <c r="M46" i="1" s="1" a="1"/>
  <c r="M46" i="1" s="1"/>
  <c r="I47" i="1"/>
  <c r="L47" i="1" s="1" a="1"/>
  <c r="L47" i="1" s="1"/>
  <c r="M47" i="1" s="1" a="1"/>
  <c r="M47" i="1" s="1"/>
  <c r="I48" i="1"/>
  <c r="L48" i="1" s="1" a="1"/>
  <c r="L48" i="1" s="1"/>
  <c r="M48" i="1" s="1" a="1"/>
  <c r="M48" i="1" s="1"/>
  <c r="I49" i="1"/>
  <c r="L49" i="1" s="1" a="1"/>
  <c r="L49" i="1" s="1"/>
  <c r="M49" i="1" s="1" a="1"/>
  <c r="M49" i="1" s="1"/>
  <c r="I50" i="1"/>
  <c r="L50" i="1" s="1" a="1"/>
  <c r="L50" i="1" s="1"/>
  <c r="M50" i="1" s="1" a="1"/>
  <c r="M50" i="1" s="1"/>
  <c r="I51" i="1"/>
  <c r="L51" i="1" s="1" a="1"/>
  <c r="L51" i="1" s="1"/>
  <c r="M51" i="1" s="1" a="1"/>
  <c r="M51" i="1" s="1"/>
  <c r="I52" i="1"/>
  <c r="L52" i="1" s="1" a="1"/>
  <c r="L52" i="1" s="1"/>
  <c r="M52" i="1" s="1" a="1"/>
  <c r="M52" i="1" s="1"/>
  <c r="I53" i="1"/>
  <c r="L53" i="1" s="1" a="1"/>
  <c r="L53" i="1" s="1"/>
  <c r="M53" i="1" s="1" a="1"/>
  <c r="M53" i="1" s="1"/>
  <c r="I54" i="1"/>
  <c r="L54" i="1" s="1" a="1"/>
  <c r="L54" i="1" s="1"/>
  <c r="M54" i="1" s="1" a="1"/>
  <c r="M54" i="1" s="1"/>
  <c r="I55" i="1"/>
  <c r="L55" i="1" s="1" a="1"/>
  <c r="L55" i="1" s="1"/>
  <c r="M55" i="1" s="1" a="1"/>
  <c r="M55" i="1" s="1"/>
  <c r="I56" i="1"/>
  <c r="L56" i="1" s="1" a="1"/>
  <c r="L56" i="1" s="1"/>
  <c r="M56" i="1" s="1" a="1"/>
  <c r="M56" i="1" s="1"/>
  <c r="I57" i="1"/>
  <c r="L57" i="1" s="1" a="1"/>
  <c r="L57" i="1" s="1"/>
  <c r="M57" i="1" s="1" a="1"/>
  <c r="M57" i="1" s="1"/>
  <c r="I58" i="1"/>
  <c r="L58" i="1" s="1" a="1"/>
  <c r="L58" i="1" s="1"/>
  <c r="M58" i="1" s="1" a="1"/>
  <c r="M58" i="1" s="1"/>
  <c r="I59" i="1"/>
  <c r="L59" i="1" s="1" a="1"/>
  <c r="L59" i="1" s="1"/>
  <c r="M59" i="1" s="1" a="1"/>
  <c r="M59" i="1" s="1"/>
  <c r="I60" i="1"/>
  <c r="L60" i="1" s="1" a="1"/>
  <c r="L60" i="1" s="1"/>
  <c r="M60" i="1" s="1" a="1"/>
  <c r="M60" i="1" s="1"/>
  <c r="I61" i="1"/>
  <c r="L61" i="1" s="1" a="1"/>
  <c r="L61" i="1" s="1"/>
  <c r="M61" i="1" s="1" a="1"/>
  <c r="M61" i="1" s="1"/>
  <c r="I62" i="1"/>
  <c r="L62" i="1" s="1" a="1"/>
  <c r="L62" i="1" s="1"/>
  <c r="M62" i="1" s="1" a="1"/>
  <c r="M62" i="1" s="1"/>
  <c r="I63" i="1"/>
  <c r="I64" i="1"/>
  <c r="L64" i="1" s="1" a="1"/>
  <c r="L64" i="1" s="1"/>
  <c r="M64" i="1" s="1" a="1"/>
  <c r="M64" i="1" s="1"/>
  <c r="I65" i="1"/>
  <c r="L65" i="1" s="1" a="1"/>
  <c r="L65" i="1" s="1"/>
  <c r="M65" i="1" s="1" a="1"/>
  <c r="M65" i="1" s="1"/>
  <c r="I66" i="1"/>
  <c r="L66" i="1" s="1" a="1"/>
  <c r="L66" i="1" s="1"/>
  <c r="M66" i="1" s="1" a="1"/>
  <c r="M66" i="1" s="1"/>
  <c r="I67" i="1"/>
  <c r="L67" i="1" s="1" a="1"/>
  <c r="L67" i="1" s="1"/>
  <c r="M67" i="1" s="1" a="1"/>
  <c r="M67" i="1" s="1"/>
  <c r="I68" i="1"/>
  <c r="L68" i="1" s="1" a="1"/>
  <c r="L68" i="1" s="1"/>
  <c r="M68" i="1" s="1" a="1"/>
  <c r="M68" i="1" s="1"/>
  <c r="I69" i="1"/>
  <c r="L69" i="1" s="1" a="1"/>
  <c r="L69" i="1" s="1"/>
  <c r="M69" i="1" s="1" a="1"/>
  <c r="M69" i="1" s="1"/>
  <c r="I70" i="1"/>
  <c r="L70" i="1" s="1" a="1"/>
  <c r="L70" i="1" s="1"/>
  <c r="M70" i="1" s="1" a="1"/>
  <c r="M70" i="1" s="1"/>
  <c r="I71" i="1"/>
  <c r="L71" i="1" s="1" a="1"/>
  <c r="L71" i="1" s="1"/>
  <c r="M71" i="1" s="1" a="1"/>
  <c r="M71" i="1" s="1"/>
  <c r="I72" i="1"/>
  <c r="L72" i="1" s="1" a="1"/>
  <c r="L72" i="1" s="1"/>
  <c r="M72" i="1" s="1" a="1"/>
  <c r="M72" i="1" s="1"/>
  <c r="I73" i="1"/>
  <c r="L73" i="1" s="1" a="1"/>
  <c r="L73" i="1" s="1"/>
  <c r="M73" i="1" s="1" a="1"/>
  <c r="M73" i="1" s="1"/>
  <c r="I74" i="1"/>
  <c r="L74" i="1" s="1" a="1"/>
  <c r="L74" i="1" s="1"/>
  <c r="M74" i="1" s="1" a="1"/>
  <c r="M74" i="1" s="1"/>
  <c r="I75" i="1"/>
  <c r="L75" i="1" s="1" a="1"/>
  <c r="L75" i="1" s="1"/>
  <c r="M75" i="1" s="1" a="1"/>
  <c r="M75" i="1" s="1"/>
  <c r="I76" i="1"/>
  <c r="L76" i="1" s="1" a="1"/>
  <c r="L76" i="1" s="1"/>
  <c r="M76" i="1" s="1" a="1"/>
  <c r="M76" i="1" s="1"/>
  <c r="I77" i="1"/>
  <c r="L77" i="1" s="1" a="1"/>
  <c r="L77" i="1" s="1"/>
  <c r="M77" i="1" s="1" a="1"/>
  <c r="M77" i="1" s="1"/>
  <c r="I78" i="1"/>
  <c r="L78" i="1" s="1" a="1"/>
  <c r="L78" i="1" s="1"/>
  <c r="M78" i="1" s="1" a="1"/>
  <c r="M78" i="1" s="1"/>
  <c r="I79" i="1"/>
  <c r="L79" i="1" s="1" a="1"/>
  <c r="L79" i="1" s="1"/>
  <c r="M79" i="1" s="1" a="1"/>
  <c r="M79" i="1" s="1"/>
  <c r="I80" i="1"/>
  <c r="L80" i="1" s="1" a="1"/>
  <c r="L80" i="1" s="1"/>
  <c r="M80" i="1" s="1" a="1"/>
  <c r="M80" i="1" s="1"/>
  <c r="I81" i="1"/>
  <c r="L81" i="1" s="1" a="1"/>
  <c r="L81" i="1" s="1"/>
  <c r="M81" i="1" s="1" a="1"/>
  <c r="M81" i="1" s="1"/>
  <c r="I82" i="1"/>
  <c r="L82" i="1" s="1" a="1"/>
  <c r="L82" i="1" s="1"/>
  <c r="M82" i="1" s="1" a="1"/>
  <c r="M82" i="1" s="1"/>
  <c r="I83" i="1"/>
  <c r="L83" i="1" s="1" a="1"/>
  <c r="L83" i="1" s="1"/>
  <c r="M83" i="1" s="1" a="1"/>
  <c r="M83" i="1" s="1"/>
  <c r="I84" i="1"/>
  <c r="L84" i="1" s="1" a="1"/>
  <c r="L84" i="1" s="1"/>
  <c r="M84" i="1" s="1" a="1"/>
  <c r="M84" i="1" s="1"/>
  <c r="I85" i="1"/>
  <c r="L85" i="1" s="1" a="1"/>
  <c r="L85" i="1" s="1"/>
  <c r="M85" i="1" s="1" a="1"/>
  <c r="M85" i="1" s="1"/>
  <c r="I86" i="1"/>
  <c r="L86" i="1" s="1" a="1"/>
  <c r="L86" i="1" s="1"/>
  <c r="M86" i="1" s="1" a="1"/>
  <c r="M86" i="1" s="1"/>
  <c r="I87" i="1"/>
  <c r="L87" i="1" s="1" a="1"/>
  <c r="L87" i="1" s="1"/>
  <c r="M87" i="1" s="1" a="1"/>
  <c r="M87" i="1" s="1"/>
  <c r="I88" i="1"/>
  <c r="L88" i="1" s="1" a="1"/>
  <c r="L88" i="1" s="1"/>
  <c r="M88" i="1" s="1" a="1"/>
  <c r="M88" i="1" s="1"/>
  <c r="I89" i="1"/>
  <c r="L89" i="1" s="1" a="1"/>
  <c r="L89" i="1" s="1"/>
  <c r="M89" i="1" s="1" a="1"/>
  <c r="M89" i="1" s="1"/>
  <c r="I90" i="1"/>
  <c r="L90" i="1" s="1" a="1"/>
  <c r="L90" i="1" s="1"/>
  <c r="M90" i="1" s="1" a="1"/>
  <c r="M90" i="1" s="1"/>
  <c r="I91" i="1"/>
  <c r="L91" i="1" s="1" a="1"/>
  <c r="L91" i="1" s="1"/>
  <c r="M91" i="1" s="1" a="1"/>
  <c r="M91" i="1" s="1"/>
  <c r="I92" i="1"/>
  <c r="L92" i="1" s="1" a="1"/>
  <c r="L92" i="1" s="1"/>
  <c r="M92" i="1" s="1" a="1"/>
  <c r="M92" i="1" s="1"/>
  <c r="I93" i="1"/>
  <c r="L93" i="1" s="1" a="1"/>
  <c r="L93" i="1" s="1"/>
  <c r="M93" i="1" s="1" a="1"/>
  <c r="M93" i="1" s="1"/>
  <c r="I94" i="1"/>
  <c r="L94" i="1" s="1" a="1"/>
  <c r="L94" i="1" s="1"/>
  <c r="M94" i="1" s="1" a="1"/>
  <c r="M94" i="1" s="1"/>
  <c r="I95" i="1"/>
  <c r="L95" i="1" s="1" a="1"/>
  <c r="L95" i="1" s="1"/>
  <c r="M95" i="1" s="1" a="1"/>
  <c r="M95" i="1" s="1"/>
  <c r="I96" i="1"/>
  <c r="L96" i="1" s="1" a="1"/>
  <c r="L96" i="1" s="1"/>
  <c r="M96" i="1" s="1" a="1"/>
  <c r="M96" i="1" s="1"/>
  <c r="I97" i="1"/>
  <c r="L97" i="1" s="1" a="1"/>
  <c r="L97" i="1" s="1"/>
  <c r="M97" i="1" s="1" a="1"/>
  <c r="M97" i="1" s="1"/>
  <c r="I98" i="1"/>
  <c r="L98" i="1" s="1" a="1"/>
  <c r="L98" i="1" s="1"/>
  <c r="M98" i="1" s="1" a="1"/>
  <c r="M98" i="1" s="1"/>
  <c r="I99" i="1"/>
  <c r="L99" i="1" s="1" a="1"/>
  <c r="L99" i="1" s="1"/>
  <c r="M99" i="1" s="1" a="1"/>
  <c r="M99" i="1" s="1"/>
  <c r="I100" i="1"/>
  <c r="L100" i="1" s="1" a="1"/>
  <c r="L100" i="1" s="1"/>
  <c r="M100" i="1" s="1" a="1"/>
  <c r="M100" i="1" s="1"/>
  <c r="I101" i="1"/>
  <c r="L101" i="1" s="1" a="1"/>
  <c r="L101" i="1" s="1"/>
  <c r="M101" i="1" s="1" a="1"/>
  <c r="M101" i="1" s="1"/>
  <c r="I102" i="1"/>
  <c r="L102" i="1" s="1" a="1"/>
  <c r="L102" i="1" s="1"/>
  <c r="M102" i="1" s="1" a="1"/>
  <c r="M102" i="1" s="1"/>
  <c r="I103" i="1"/>
  <c r="L103" i="1" s="1" a="1"/>
  <c r="L103" i="1" s="1"/>
  <c r="M103" i="1" s="1" a="1"/>
  <c r="M103" i="1" s="1"/>
  <c r="I104" i="1"/>
  <c r="L104" i="1" s="1" a="1"/>
  <c r="L104" i="1" s="1"/>
  <c r="M104" i="1" s="1" a="1"/>
  <c r="M104" i="1" s="1"/>
  <c r="I105" i="1"/>
  <c r="L105" i="1" s="1" a="1"/>
  <c r="L105" i="1" s="1"/>
  <c r="M105" i="1" s="1" a="1"/>
  <c r="M105" i="1" s="1"/>
  <c r="I106" i="1"/>
  <c r="L106" i="1" s="1" a="1"/>
  <c r="L106" i="1" s="1"/>
  <c r="M106" i="1" s="1" a="1"/>
  <c r="M106" i="1" s="1"/>
  <c r="I107" i="1"/>
  <c r="L107" i="1" s="1" a="1"/>
  <c r="L107" i="1" s="1"/>
  <c r="M107" i="1" s="1" a="1"/>
  <c r="M107" i="1" s="1"/>
  <c r="I108" i="1"/>
  <c r="L108" i="1" s="1" a="1"/>
  <c r="L108" i="1" s="1"/>
  <c r="M108" i="1" s="1" a="1"/>
  <c r="M108" i="1" s="1"/>
  <c r="I109" i="1"/>
  <c r="L109" i="1" s="1" a="1"/>
  <c r="L109" i="1" s="1"/>
  <c r="M109" i="1" s="1" a="1"/>
  <c r="M109" i="1" s="1"/>
  <c r="I110" i="1"/>
  <c r="L110" i="1" s="1" a="1"/>
  <c r="L110" i="1" s="1"/>
  <c r="M110" i="1" s="1" a="1"/>
  <c r="M110" i="1" s="1"/>
  <c r="I111" i="1"/>
  <c r="L111" i="1" s="1" a="1"/>
  <c r="L111" i="1" s="1"/>
  <c r="M111" i="1" s="1" a="1"/>
  <c r="M111" i="1" s="1"/>
  <c r="I112" i="1"/>
  <c r="L112" i="1" s="1" a="1"/>
  <c r="L112" i="1" s="1"/>
  <c r="M112" i="1" s="1" a="1"/>
  <c r="M112" i="1" s="1"/>
  <c r="I113" i="1"/>
  <c r="L113" i="1" s="1" a="1"/>
  <c r="L113" i="1" s="1"/>
  <c r="M113" i="1" s="1" a="1"/>
  <c r="M113" i="1" s="1"/>
  <c r="I114" i="1"/>
  <c r="I115" i="1"/>
  <c r="I116" i="1"/>
  <c r="L116" i="1" s="1" a="1"/>
  <c r="L116" i="1" s="1"/>
  <c r="M116" i="1" s="1" a="1"/>
  <c r="M116" i="1" s="1"/>
  <c r="I117" i="1"/>
  <c r="L117" i="1" s="1" a="1"/>
  <c r="L117" i="1" s="1"/>
  <c r="M117" i="1" s="1" a="1"/>
  <c r="M117" i="1" s="1"/>
  <c r="I118" i="1"/>
  <c r="L118" i="1" s="1" a="1"/>
  <c r="L118" i="1" s="1"/>
  <c r="M118" i="1" s="1" a="1"/>
  <c r="M118" i="1" s="1"/>
  <c r="I119" i="1"/>
  <c r="L119" i="1" s="1" a="1"/>
  <c r="L119" i="1" s="1"/>
  <c r="M119" i="1" s="1" a="1"/>
  <c r="M119" i="1" s="1"/>
  <c r="I120" i="1"/>
  <c r="L120" i="1" s="1" a="1"/>
  <c r="L120" i="1" s="1"/>
  <c r="M120" i="1" s="1" a="1"/>
  <c r="M120" i="1" s="1"/>
  <c r="I121" i="1"/>
  <c r="L121" i="1" s="1" a="1"/>
  <c r="L121" i="1" s="1"/>
  <c r="M121" i="1" s="1" a="1"/>
  <c r="M121" i="1" s="1"/>
  <c r="I122" i="1"/>
  <c r="L122" i="1" s="1" a="1"/>
  <c r="L122" i="1" s="1"/>
  <c r="M122" i="1" s="1" a="1"/>
  <c r="M122" i="1" s="1"/>
  <c r="I123" i="1"/>
  <c r="L123" i="1" s="1" a="1"/>
  <c r="L123" i="1" s="1"/>
  <c r="M123" i="1" s="1" a="1"/>
  <c r="M123" i="1" s="1"/>
  <c r="I124" i="1"/>
  <c r="L124" i="1" s="1" a="1"/>
  <c r="L124" i="1" s="1"/>
  <c r="M124" i="1" s="1" a="1"/>
  <c r="M124" i="1" s="1"/>
  <c r="I125" i="1"/>
  <c r="L125" i="1" s="1" a="1"/>
  <c r="L125" i="1" s="1"/>
  <c r="M125" i="1" s="1" a="1"/>
  <c r="M125" i="1" s="1"/>
  <c r="I126" i="1"/>
  <c r="L126" i="1" s="1" a="1"/>
  <c r="L126" i="1" s="1"/>
  <c r="M126" i="1" s="1" a="1"/>
  <c r="M126" i="1" s="1"/>
  <c r="I127" i="1"/>
  <c r="L127" i="1" s="1" a="1"/>
  <c r="L127" i="1" s="1"/>
  <c r="M127" i="1" s="1" a="1"/>
  <c r="M127" i="1" s="1"/>
  <c r="I128" i="1"/>
  <c r="L128" i="1" s="1" a="1"/>
  <c r="L128" i="1" s="1"/>
  <c r="M128" i="1" s="1" a="1"/>
  <c r="M128" i="1" s="1"/>
  <c r="I129" i="1"/>
  <c r="L129" i="1" s="1" a="1"/>
  <c r="L129" i="1" s="1"/>
  <c r="M129" i="1" s="1" a="1"/>
  <c r="M129" i="1" s="1"/>
  <c r="I130" i="1"/>
  <c r="L130" i="1" s="1" a="1"/>
  <c r="L130" i="1" s="1"/>
  <c r="M130" i="1" s="1" a="1"/>
  <c r="M130" i="1" s="1"/>
  <c r="I131" i="1"/>
  <c r="L131" i="1" s="1" a="1"/>
  <c r="L131" i="1" s="1"/>
  <c r="M131" i="1" s="1" a="1"/>
  <c r="M131" i="1" s="1"/>
  <c r="I132" i="1"/>
  <c r="L132" i="1" s="1" a="1"/>
  <c r="L132" i="1" s="1"/>
  <c r="M132" i="1" s="1" a="1"/>
  <c r="M132" i="1" s="1"/>
  <c r="I133" i="1"/>
  <c r="L133" i="1" s="1" a="1"/>
  <c r="L133" i="1" s="1"/>
  <c r="M133" i="1" s="1" a="1"/>
  <c r="M133" i="1" s="1"/>
  <c r="I134" i="1"/>
  <c r="L134" i="1" s="1" a="1"/>
  <c r="L134" i="1" s="1"/>
  <c r="M134" i="1" s="1" a="1"/>
  <c r="M134" i="1" s="1"/>
  <c r="I135" i="1"/>
  <c r="L135" i="1" s="1" a="1"/>
  <c r="L135" i="1" s="1"/>
  <c r="M135" i="1" s="1" a="1"/>
  <c r="M135" i="1" s="1"/>
  <c r="I136" i="1"/>
  <c r="L136" i="1" s="1" a="1"/>
  <c r="L136" i="1" s="1"/>
  <c r="M136" i="1" s="1" a="1"/>
  <c r="M136" i="1" s="1"/>
  <c r="I137" i="1"/>
  <c r="L137" i="1" s="1" a="1"/>
  <c r="L137" i="1" s="1"/>
  <c r="M137" i="1" s="1" a="1"/>
  <c r="M137" i="1" s="1"/>
  <c r="I138" i="1"/>
  <c r="L138" i="1" s="1" a="1"/>
  <c r="L138" i="1" s="1"/>
  <c r="M138" i="1" s="1" a="1"/>
  <c r="M138" i="1" s="1"/>
  <c r="I139" i="1"/>
  <c r="L139" i="1" s="1" a="1"/>
  <c r="L139" i="1" s="1"/>
  <c r="M139" i="1" s="1" a="1"/>
  <c r="M139" i="1" s="1"/>
  <c r="I140" i="1"/>
  <c r="L140" i="1" s="1" a="1"/>
  <c r="L140" i="1" s="1"/>
  <c r="M140" i="1" s="1" a="1"/>
  <c r="M140" i="1" s="1"/>
  <c r="I141" i="1"/>
  <c r="L141" i="1" s="1" a="1"/>
  <c r="L141" i="1" s="1"/>
  <c r="M141" i="1" s="1" a="1"/>
  <c r="M141" i="1" s="1"/>
  <c r="I142" i="1"/>
  <c r="L142" i="1" s="1" a="1"/>
  <c r="L142" i="1" s="1"/>
  <c r="M142" i="1" s="1" a="1"/>
  <c r="M142" i="1" s="1"/>
  <c r="I143" i="1"/>
  <c r="L143" i="1" s="1" a="1"/>
  <c r="L143" i="1" s="1"/>
  <c r="M143" i="1" s="1" a="1"/>
  <c r="M143" i="1" s="1"/>
  <c r="I144" i="1"/>
  <c r="L144" i="1" s="1" a="1"/>
  <c r="L144" i="1" s="1"/>
  <c r="M144" i="1" s="1" a="1"/>
  <c r="M144" i="1" s="1"/>
  <c r="I145" i="1"/>
  <c r="L145" i="1" s="1" a="1"/>
  <c r="L145" i="1" s="1"/>
  <c r="M145" i="1" s="1" a="1"/>
  <c r="M145" i="1" s="1"/>
  <c r="I146" i="1"/>
  <c r="L146" i="1" s="1" a="1"/>
  <c r="L146" i="1" s="1"/>
  <c r="M146" i="1" s="1" a="1"/>
  <c r="M146" i="1" s="1"/>
  <c r="I147" i="1"/>
  <c r="I148" i="1"/>
  <c r="L148" i="1" s="1" a="1"/>
  <c r="L148" i="1" s="1"/>
  <c r="M148" i="1" s="1" a="1"/>
  <c r="M148" i="1" s="1"/>
  <c r="I149" i="1"/>
  <c r="L149" i="1" s="1" a="1"/>
  <c r="L149" i="1" s="1"/>
  <c r="M149" i="1" s="1" a="1"/>
  <c r="M149" i="1" s="1"/>
  <c r="I150" i="1"/>
  <c r="L150" i="1" s="1" a="1"/>
  <c r="L150" i="1" s="1"/>
  <c r="M150" i="1" s="1" a="1"/>
  <c r="M150" i="1" s="1"/>
  <c r="I151" i="1"/>
  <c r="L151" i="1" s="1" a="1"/>
  <c r="L151" i="1" s="1"/>
  <c r="M151" i="1" s="1" a="1"/>
  <c r="M151" i="1" s="1"/>
  <c r="I152" i="1"/>
  <c r="L152" i="1" s="1" a="1"/>
  <c r="L152" i="1" s="1"/>
  <c r="M152" i="1" s="1" a="1"/>
  <c r="M152" i="1" s="1"/>
  <c r="I153" i="1"/>
  <c r="L153" i="1" s="1" a="1"/>
  <c r="L153" i="1" s="1"/>
  <c r="M153" i="1" s="1" a="1"/>
  <c r="M153" i="1" s="1"/>
  <c r="I154" i="1"/>
  <c r="L154" i="1" s="1" a="1"/>
  <c r="L154" i="1" s="1"/>
  <c r="M154" i="1" s="1" a="1"/>
  <c r="M154" i="1" s="1"/>
  <c r="I155" i="1"/>
  <c r="L155" i="1" s="1" a="1"/>
  <c r="L155" i="1" s="1"/>
  <c r="M155" i="1" s="1" a="1"/>
  <c r="M155" i="1" s="1"/>
  <c r="I156" i="1"/>
  <c r="L156" i="1" s="1" a="1"/>
  <c r="L156" i="1" s="1"/>
  <c r="M156" i="1" s="1" a="1"/>
  <c r="M156" i="1" s="1"/>
  <c r="I157" i="1"/>
  <c r="L157" i="1" s="1" a="1"/>
  <c r="L157" i="1" s="1"/>
  <c r="M157" i="1" s="1" a="1"/>
  <c r="M157" i="1" s="1"/>
  <c r="I158" i="1"/>
  <c r="L158" i="1" s="1" a="1"/>
  <c r="L158" i="1" s="1"/>
  <c r="M158" i="1" s="1" a="1"/>
  <c r="M158" i="1" s="1"/>
  <c r="I159" i="1"/>
  <c r="L159" i="1" s="1" a="1"/>
  <c r="L159" i="1" s="1"/>
  <c r="M159" i="1" s="1" a="1"/>
  <c r="M159" i="1" s="1"/>
  <c r="I160" i="1"/>
  <c r="L160" i="1" s="1" a="1"/>
  <c r="L160" i="1" s="1"/>
  <c r="M160" i="1" s="1" a="1"/>
  <c r="M160" i="1" s="1"/>
  <c r="I161" i="1"/>
  <c r="L161" i="1" s="1" a="1"/>
  <c r="L161" i="1" s="1"/>
  <c r="M161" i="1" s="1" a="1"/>
  <c r="M161" i="1" s="1"/>
  <c r="I162" i="1"/>
  <c r="L162" i="1" s="1" a="1"/>
  <c r="L162" i="1" s="1"/>
  <c r="M162" i="1" s="1" a="1"/>
  <c r="M162" i="1" s="1"/>
  <c r="I163" i="1"/>
  <c r="L163" i="1" s="1" a="1"/>
  <c r="L163" i="1" s="1"/>
  <c r="M163" i="1" s="1" a="1"/>
  <c r="M163" i="1" s="1"/>
  <c r="I164" i="1"/>
  <c r="L164" i="1" s="1" a="1"/>
  <c r="L164" i="1" s="1"/>
  <c r="M164" i="1" s="1" a="1"/>
  <c r="M164" i="1" s="1"/>
  <c r="I165" i="1"/>
  <c r="L165" i="1" s="1" a="1"/>
  <c r="L165" i="1" s="1"/>
  <c r="M165" i="1" s="1" a="1"/>
  <c r="M165" i="1" s="1"/>
  <c r="I166" i="1"/>
  <c r="L166" i="1" s="1" a="1"/>
  <c r="L166" i="1" s="1"/>
  <c r="M166" i="1" s="1" a="1"/>
  <c r="M166" i="1" s="1"/>
  <c r="I167" i="1"/>
  <c r="L167" i="1" s="1" a="1"/>
  <c r="L167" i="1" s="1"/>
  <c r="M167" i="1" s="1" a="1"/>
  <c r="M167" i="1" s="1"/>
  <c r="I168" i="1"/>
  <c r="L168" i="1" s="1" a="1"/>
  <c r="L168" i="1" s="1"/>
  <c r="M168" i="1" s="1" a="1"/>
  <c r="M168" i="1" s="1"/>
  <c r="I169" i="1"/>
  <c r="L169" i="1" s="1" a="1"/>
  <c r="L169" i="1" s="1"/>
  <c r="M169" i="1" s="1" a="1"/>
  <c r="M169" i="1" s="1"/>
  <c r="I170" i="1"/>
  <c r="L170" i="1" s="1" a="1"/>
  <c r="L170" i="1" s="1"/>
  <c r="M170" i="1" s="1" a="1"/>
  <c r="M170" i="1" s="1"/>
  <c r="I171" i="1"/>
  <c r="L171" i="1" s="1" a="1"/>
  <c r="L171" i="1" s="1"/>
  <c r="M171" i="1" s="1" a="1"/>
  <c r="M171" i="1" s="1"/>
  <c r="I172" i="1"/>
  <c r="L172" i="1" s="1" a="1"/>
  <c r="L172" i="1" s="1"/>
  <c r="M172" i="1" s="1" a="1"/>
  <c r="M172" i="1" s="1"/>
  <c r="I173" i="1"/>
  <c r="L173" i="1" s="1" a="1"/>
  <c r="L173" i="1" s="1"/>
  <c r="M173" i="1" s="1" a="1"/>
  <c r="M173" i="1" s="1"/>
  <c r="I174" i="1"/>
  <c r="L174" i="1" s="1" a="1"/>
  <c r="L174" i="1" s="1"/>
  <c r="M174" i="1" s="1" a="1"/>
  <c r="M174" i="1" s="1"/>
  <c r="I175" i="1"/>
  <c r="L175" i="1" s="1" a="1"/>
  <c r="L175" i="1" s="1"/>
  <c r="M175" i="1" s="1" a="1"/>
  <c r="M175" i="1" s="1"/>
  <c r="I176" i="1"/>
  <c r="L176" i="1" s="1" a="1"/>
  <c r="L176" i="1" s="1"/>
  <c r="M176" i="1" s="1" a="1"/>
  <c r="M176" i="1" s="1"/>
  <c r="I177" i="1"/>
  <c r="L177" i="1" s="1" a="1"/>
  <c r="L177" i="1" s="1"/>
  <c r="M177" i="1" s="1" a="1"/>
  <c r="M177" i="1" s="1"/>
  <c r="I178" i="1"/>
  <c r="L178" i="1" s="1" a="1"/>
  <c r="L178" i="1" s="1"/>
  <c r="M178" i="1" s="1" a="1"/>
  <c r="M178" i="1" s="1"/>
  <c r="I179" i="1"/>
  <c r="L179" i="1" s="1" a="1"/>
  <c r="L179" i="1" s="1"/>
  <c r="M179" i="1" s="1" a="1"/>
  <c r="M179" i="1" s="1"/>
  <c r="I180" i="1"/>
  <c r="L180" i="1" s="1" a="1"/>
  <c r="L180" i="1" s="1"/>
  <c r="M180" i="1" s="1" a="1"/>
  <c r="M180" i="1" s="1"/>
  <c r="I181" i="1"/>
  <c r="L181" i="1" s="1" a="1"/>
  <c r="L181" i="1" s="1"/>
  <c r="M181" i="1" s="1" a="1"/>
  <c r="M181" i="1" s="1"/>
  <c r="I182" i="1"/>
  <c r="L182" i="1" s="1" a="1"/>
  <c r="L182" i="1" s="1"/>
  <c r="M182" i="1" s="1" a="1"/>
  <c r="M182" i="1" s="1"/>
  <c r="I183" i="1"/>
  <c r="L183" i="1" s="1" a="1"/>
  <c r="L183" i="1" s="1"/>
  <c r="M183" i="1" s="1" a="1"/>
  <c r="M183" i="1" s="1"/>
  <c r="I184" i="1"/>
  <c r="L184" i="1" s="1" a="1"/>
  <c r="L184" i="1" s="1"/>
  <c r="M184" i="1" s="1" a="1"/>
  <c r="M184" i="1" s="1"/>
  <c r="I185" i="1"/>
  <c r="L185" i="1" s="1" a="1"/>
  <c r="L185" i="1" s="1"/>
  <c r="M185" i="1" s="1" a="1"/>
  <c r="M185" i="1" s="1"/>
  <c r="I186" i="1"/>
  <c r="L186" i="1" s="1" a="1"/>
  <c r="L186" i="1" s="1"/>
  <c r="M186" i="1" s="1" a="1"/>
  <c r="M186" i="1" s="1"/>
  <c r="I187" i="1"/>
  <c r="L187" i="1" s="1" a="1"/>
  <c r="L187" i="1" s="1"/>
  <c r="M187" i="1" s="1" a="1"/>
  <c r="M187" i="1" s="1"/>
  <c r="I188" i="1"/>
  <c r="L188" i="1" s="1" a="1"/>
  <c r="L188" i="1" s="1"/>
  <c r="M188" i="1" s="1" a="1"/>
  <c r="M188" i="1" s="1"/>
  <c r="I2" i="1"/>
  <c r="L2" i="1" s="1" a="1"/>
  <c r="L2" i="1" s="1"/>
  <c r="M2" i="1" s="1" a="1"/>
  <c r="M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<sst xmlns="http://schemas.openxmlformats.org/spreadsheetml/2006/main" count="1233" uniqueCount="234">
  <si>
    <t>Country/Region</t>
  </si>
  <si>
    <t>Confirmed</t>
  </si>
  <si>
    <t>Deaths</t>
  </si>
  <si>
    <t>Recovered</t>
  </si>
  <si>
    <t>Active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</si>
  <si>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</si>
  <si>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</si>
  <si>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</si>
  <si>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</si>
  <si>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</si>
  <si>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</si>
  <si>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</si>
  <si>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</si>
  <si>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</si>
  <si>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</si>
  <si>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</si>
  <si>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</si>
  <si>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</si>
  <si>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</si>
  <si>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</si>
  <si>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</si>
  <si>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</si>
  <si>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</si>
  <si>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</si>
  <si>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</si>
  <si>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</si>
  <si>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</si>
  <si>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</si>
  <si>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</si>
  <si>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</si>
  <si>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</si>
  <si>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</si>
  <si>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</si>
  <si>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</si>
  <si>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</si>
  <si>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</si>
  <si>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</si>
  <si>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</si>
  <si>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</si>
  <si>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</si>
  <si>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</si>
  <si>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</si>
  <si>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</si>
  <si>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</si>
  <si>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</si>
  <si>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</si>
  <si>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</si>
  <si>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</si>
  <si>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</si>
  <si>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</si>
  <si>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</si>
  <si>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</si>
  <si>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</si>
  <si>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</si>
  <si>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</si>
  <si>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</si>
  <si>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</si>
  <si>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</si>
  <si>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</si>
  <si>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</si>
  <si>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</si>
  <si>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</si>
  <si>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</si>
  <si>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</si>
  <si>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</si>
  <si>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</si>
  <si>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</si>
  <si>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</si>
  <si>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</si>
  <si>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</si>
  <si>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</si>
  <si>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</si>
  <si>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</si>
  <si>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</si>
  <si>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</si>
  <si>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</si>
  <si>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</si>
  <si>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</si>
  <si>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</si>
  <si>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</si>
  <si>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</si>
  <si>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</si>
  <si>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</si>
  <si>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</si>
  <si>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</si>
  <si>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</si>
  <si>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</si>
  <si>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</si>
  <si>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</si>
  <si>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</si>
  <si>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</si>
  <si>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</si>
  <si>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</si>
  <si>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</si>
  <si>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</si>
  <si>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</si>
  <si>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</si>
  <si>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</si>
  <si>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</si>
  <si>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</si>
  <si>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</si>
  <si>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</si>
  <si>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</si>
  <si>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</si>
  <si>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</si>
  <si>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</si>
  <si>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</si>
  <si>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</si>
  <si>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</si>
  <si>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</si>
  <si>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</si>
  <si>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</si>
  <si>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</si>
  <si>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</si>
  <si>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</si>
  <si>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</si>
  <si>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</si>
  <si>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</si>
  <si>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</si>
  <si>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</si>
  <si>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</si>
  <si>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</si>
  <si>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</si>
  <si>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</si>
  <si>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</si>
  <si>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</si>
  <si>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</si>
  <si>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</si>
  <si>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</si>
  <si>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</si>
  <si>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</si>
  <si>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</si>
  <si>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</si>
  <si>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</si>
  <si>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</si>
  <si>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</si>
  <si>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</si>
  <si>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</si>
  <si>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</si>
  <si>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</si>
  <si>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</si>
  <si>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</si>
  <si>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</si>
  <si>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</si>
  <si>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</si>
  <si>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</si>
  <si>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</si>
  <si>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</si>
  <si>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</si>
  <si>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</si>
  <si>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</si>
  <si>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</si>
  <si>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</si>
  <si>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</si>
  <si>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</si>
  <si>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</si>
  <si>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</si>
  <si>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</si>
  <si>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</si>
  <si>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</si>
  <si>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</si>
  <si>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</si>
  <si>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</si>
  <si>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</si>
  <si>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</si>
  <si>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</si>
  <si>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</si>
  <si>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</si>
  <si>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</si>
  <si>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</si>
  <si>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</si>
  <si>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</si>
  <si>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</si>
  <si>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</si>
  <si>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</si>
  <si>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</si>
  <si>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</si>
  <si>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</si>
  <si>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</si>
  <si>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</si>
  <si>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</si>
  <si>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</si>
  <si>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</si>
  <si>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</si>
  <si>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</si>
  <si>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West Bank and Gaza</t>
  </si>
  <si>
    <t>Western Sahara</t>
  </si>
  <si>
    <t>Yemen</t>
  </si>
  <si>
    <t>Zambia</t>
  </si>
  <si>
    <t>Zimbabwe</t>
  </si>
  <si>
    <t>Taiwan</t>
  </si>
  <si>
    <t>Myanmar</t>
  </si>
  <si>
    <t>Population</t>
  </si>
  <si>
    <t>Continent</t>
  </si>
  <si>
    <t>Date of First Case</t>
  </si>
  <si>
    <t>Asia</t>
  </si>
  <si>
    <t>Europe</t>
  </si>
  <si>
    <t>Africa</t>
  </si>
  <si>
    <t>North America</t>
  </si>
  <si>
    <t>South America</t>
  </si>
  <si>
    <t>Australia/Oceania</t>
  </si>
  <si>
    <t>36263</t>
  </si>
  <si>
    <t>1269</t>
  </si>
  <si>
    <t>25198</t>
  </si>
  <si>
    <t>9796</t>
  </si>
  <si>
    <t>39009447</t>
  </si>
  <si>
    <t> 17224679</t>
  </si>
  <si>
    <t>Death rate%</t>
  </si>
  <si>
    <t>Recovery rate%</t>
  </si>
  <si>
    <t>Infection rate%</t>
  </si>
  <si>
    <t>Death rate category</t>
  </si>
  <si>
    <t>Death rate number wise</t>
  </si>
  <si>
    <t>Row Labels</t>
  </si>
  <si>
    <t>Grand Total</t>
  </si>
  <si>
    <t>Jan</t>
  </si>
  <si>
    <t>Feb</t>
  </si>
  <si>
    <t>Mar</t>
  </si>
  <si>
    <t>Apr</t>
  </si>
  <si>
    <t>May</t>
  </si>
  <si>
    <t>Nov</t>
  </si>
  <si>
    <t>Dec</t>
  </si>
  <si>
    <t>Count of Confirmed</t>
  </si>
  <si>
    <t>Sum of Confirmed</t>
  </si>
  <si>
    <t>Sum of Recovered</t>
  </si>
  <si>
    <t>Average of Death rate%</t>
  </si>
  <si>
    <t xml:space="preserve">2. Which countries fall into the High Risk category based on your logic? </t>
  </si>
  <si>
    <t xml:space="preserve">1. Which continent had the highest average recovery rate? </t>
  </si>
  <si>
    <t>3. How did population size relate to the number of confirmed cases?</t>
  </si>
  <si>
    <t>4. Which country appears to have handled the pandemic most efficiently</t>
  </si>
  <si>
    <t>5. What kind of visualization was most helpful to communicate critical data?</t>
  </si>
  <si>
    <t>ently ?</t>
  </si>
  <si>
    <t>Normally there is a gradual increase of confimed cases with population, but it is not always true</t>
  </si>
  <si>
    <t>North america</t>
  </si>
  <si>
    <t>Bar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</si>
</sst>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0.000%"/>
    <numFmt numFmtId="166" formatCode="0.000000%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theme="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8">
    <xf numFmtId="0" fontId="0" fillId="0" borderId="0" xfId="0"/>
    <xf numFmtId="15" fontId="0" fillId="0" borderId="0" xfId="0" applyNumberFormat="1"/>
    <xf numFmtId="0" fontId="0" fillId="0" borderId="0" xfId="0" applyAlignment="1">
      <alignment horizontal="right" indent="1"/>
    </xf>
    <xf numFmtId="1" fontId="0" fillId="0" borderId="0" xfId="0" applyNumberFormat="1" applyAlignment="1">
      <alignment horizontal="right" indent="1"/>
    </xf>
    <xf numFmtId="14" fontId="0" fillId="0" borderId="0" xfId="0" applyNumberFormat="1" applyAlignment="1">
      <alignment horizontal="right" indent="1"/>
    </xf>
    <xf numFmtId="0" fontId="1" fillId="2" borderId="2" xfId="0" applyFont="1" applyFill="1" applyBorder="1" applyAlignment="1">
      <alignment horizontal="left" vertical="center" indent="1"/>
    </xf>
    <xf numFmtId="0" fontId="0" fillId="3" borderId="2" xfId="0" applyFont="1" applyFill="1" applyBorder="1" applyAlignment="1">
      <alignment horizontal="left" vertical="center" indent="1"/>
    </xf>
    <xf numFmtId="0" fontId="0" fillId="0" borderId="2" xfId="0" applyFont="1" applyBorder="1" applyAlignment="1">
      <alignment horizontal="left" vertical="center" indent="1"/>
    </xf>
    <xf numFmtId="0" fontId="0" fillId="3" borderId="5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right" vertical="center"/>
    </xf>
    <xf numFmtId="1" fontId="1" fillId="2" borderId="2" xfId="0" applyNumberFormat="1" applyFont="1" applyFill="1" applyBorder="1" applyAlignment="1">
      <alignment horizontal="right" vertical="center"/>
    </xf>
    <xf numFmtId="14" fontId="2" fillId="2" borderId="3" xfId="0" applyNumberFormat="1" applyFont="1" applyFill="1" applyBorder="1" applyAlignment="1">
      <alignment horizontal="right" vertical="center"/>
    </xf>
    <xf numFmtId="0" fontId="0" fillId="3" borderId="2" xfId="0" applyFont="1" applyFill="1" applyBorder="1" applyAlignment="1">
      <alignment horizontal="right" vertical="center"/>
    </xf>
    <xf numFmtId="164" fontId="0" fillId="3" borderId="3" xfId="0" applyNumberFormat="1" applyFont="1" applyFill="1" applyBorder="1" applyAlignment="1">
      <alignment horizontal="right" vertical="center"/>
    </xf>
    <xf numFmtId="0" fontId="0" fillId="0" borderId="2" xfId="0" applyFont="1" applyBorder="1" applyAlignment="1">
      <alignment horizontal="right" vertical="center"/>
    </xf>
    <xf numFmtId="164" fontId="0" fillId="0" borderId="3" xfId="0" applyNumberFormat="1" applyFont="1" applyBorder="1" applyAlignment="1">
      <alignment horizontal="right" vertical="center"/>
    </xf>
    <xf numFmtId="1" fontId="0" fillId="3" borderId="2" xfId="0" applyNumberFormat="1" applyFont="1" applyFill="1" applyBorder="1" applyAlignment="1">
      <alignment horizontal="right" vertical="center"/>
    </xf>
    <xf numFmtId="1" fontId="0" fillId="0" borderId="2" xfId="0" applyNumberFormat="1" applyFont="1" applyBorder="1" applyAlignment="1">
      <alignment horizontal="right" vertical="center"/>
    </xf>
    <xf numFmtId="3" fontId="0" fillId="0" borderId="4" xfId="0" applyNumberFormat="1" applyFont="1" applyBorder="1" applyAlignment="1">
      <alignment vertical="center"/>
    </xf>
    <xf numFmtId="0" fontId="0" fillId="3" borderId="5" xfId="0" applyFont="1" applyFill="1" applyBorder="1" applyAlignment="1">
      <alignment horizontal="right" vertical="center"/>
    </xf>
    <xf numFmtId="164" fontId="0" fillId="3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 indent="2"/>
    </xf>
    <xf numFmtId="0" fontId="0" fillId="0" borderId="0" xfId="0" applyAlignment="1">
      <alignment horizontal="left" vertical="center" indent="3"/>
    </xf>
    <xf numFmtId="10" fontId="0" fillId="0" borderId="0" xfId="0" applyNumberFormat="1"/>
    <xf numFmtId="9" fontId="0" fillId="0" borderId="0" xfId="1" applyFont="1"/>
    <xf numFmtId="166" fontId="0" fillId="0" borderId="0" xfId="1" applyNumberFormat="1" applyFont="1"/>
    <xf numFmtId="0" fontId="0" fillId="4" borderId="0" xfId="0" applyFill="1"/>
    <xf numFmtId="0" fontId="5" fillId="4" borderId="0" xfId="0" applyFont="1" applyFill="1"/>
    <xf numFmtId="0" fontId="0" fillId="0" borderId="0" xfId="0" applyAlignment="1">
      <alignment horizontal="left"/>
    </xf>
    <xf numFmtId="0" fontId="0" fillId="0" borderId="0" xfId="0" applyNumberFormat="1"/>
    <xf numFmtId="0" fontId="0" fillId="5" borderId="0" xfId="0" applyFill="1"/>
    <xf numFmtId="0" fontId="0" fillId="5" borderId="0" xfId="0" applyFill="1" applyAlignment="1">
      <alignment horizontal="left"/>
    </xf>
    <xf numFmtId="0" fontId="0" fillId="5" borderId="0" xfId="0" applyNumberFormat="1" applyFill="1"/>
    <xf numFmtId="0" fontId="1" fillId="6" borderId="2" xfId="0" applyFont="1" applyFill="1" applyBorder="1" applyAlignment="1">
      <alignment horizontal="left" vertical="center" indent="1"/>
    </xf>
    <xf numFmtId="0" fontId="0" fillId="7" borderId="0" xfId="0" applyFill="1"/>
    <xf numFmtId="0" fontId="0" fillId="7" borderId="0" xfId="0" applyFill="1" applyAlignment="1">
      <alignment horizontal="left"/>
    </xf>
    <xf numFmtId="0" fontId="0" fillId="7" borderId="0" xfId="0" applyNumberFormat="1" applyFill="1"/>
    <xf numFmtId="165" fontId="0" fillId="7" borderId="0" xfId="0" applyNumberFormat="1" applyFill="1"/>
  </cellXfs>
  <cellStyles count="2">
    <cellStyle name="Normal" xfId="0" builtinId="0"/>
    <cellStyle name="Percent" xfId="1" builtinId="5"/>
  </cellStyles>
  <dxfs count="49"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numFmt numFmtId="165" formatCode="0.000%"/>
    </dxf>
    <dxf>
      <numFmt numFmtId="165" formatCode="0.000%"/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MINI PROJECT DATASET - WEEK 01 solved.xlsx]Sheet1!PivotTable1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CONFIRMED VS RECOVERED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  <a:sp3d/>
      </c:spPr>
    </c:sideWall>
    <c:backWall>
      <c:thickness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980314960629921"/>
          <c:y val="0.16708333333333336"/>
          <c:w val="0.8396412948381452"/>
          <c:h val="0.54937481773111696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Confirmed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Sheet1!$A$4:$A$14</c:f>
              <c:strCache>
                <c:ptCount val="10"/>
                <c:pt idx="0">
                  <c:v>Brazil</c:v>
                </c:pt>
                <c:pt idx="1">
                  <c:v>Chile</c:v>
                </c:pt>
                <c:pt idx="2">
                  <c:v>India</c:v>
                </c:pt>
                <c:pt idx="3">
                  <c:v>Iran</c:v>
                </c:pt>
                <c:pt idx="4">
                  <c:v>Mexico</c:v>
                </c:pt>
                <c:pt idx="5">
                  <c:v>Peru</c:v>
                </c:pt>
                <c:pt idx="6">
                  <c:v>Russia</c:v>
                </c:pt>
                <c:pt idx="7">
                  <c:v>South Africa</c:v>
                </c:pt>
                <c:pt idx="8">
                  <c:v>United Kingdom</c:v>
                </c:pt>
                <c:pt idx="9">
                  <c:v>US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2442375</c:v>
                </c:pt>
                <c:pt idx="1">
                  <c:v>347923</c:v>
                </c:pt>
                <c:pt idx="2">
                  <c:v>1480073</c:v>
                </c:pt>
                <c:pt idx="3">
                  <c:v>293606</c:v>
                </c:pt>
                <c:pt idx="4">
                  <c:v>395489</c:v>
                </c:pt>
                <c:pt idx="5">
                  <c:v>389717</c:v>
                </c:pt>
                <c:pt idx="6">
                  <c:v>816680</c:v>
                </c:pt>
                <c:pt idx="7">
                  <c:v>452529</c:v>
                </c:pt>
                <c:pt idx="8">
                  <c:v>301708</c:v>
                </c:pt>
                <c:pt idx="9">
                  <c:v>4290259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3-4051-B7C8-A64AF948716B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Recovered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Sheet1!$A$4:$A$14</c:f>
              <c:strCache>
                <c:ptCount val="10"/>
                <c:pt idx="0">
                  <c:v>Brazil</c:v>
                </c:pt>
                <c:pt idx="1">
                  <c:v>Chile</c:v>
                </c:pt>
                <c:pt idx="2">
                  <c:v>India</c:v>
                </c:pt>
                <c:pt idx="3">
                  <c:v>Iran</c:v>
                </c:pt>
                <c:pt idx="4">
                  <c:v>Mexico</c:v>
                </c:pt>
                <c:pt idx="5">
                  <c:v>Peru</c:v>
                </c:pt>
                <c:pt idx="6">
                  <c:v>Russia</c:v>
                </c:pt>
                <c:pt idx="7">
                  <c:v>South Africa</c:v>
                </c:pt>
                <c:pt idx="8">
                  <c:v>United Kingdom</c:v>
                </c:pt>
                <c:pt idx="9">
                  <c:v>US</c:v>
                </c:pt>
              </c:strCache>
            </c:strRef>
          </c:cat>
          <c:val>
            <c:numRef>
              <c:f>Sheet1!$C$4:$C$14</c:f>
              <c:numCache>
                <c:formatCode>General</c:formatCode>
                <c:ptCount val="10"/>
                <c:pt idx="0">
                  <c:v>1846641</c:v>
                </c:pt>
                <c:pt idx="1">
                  <c:v>319954</c:v>
                </c:pt>
                <c:pt idx="2">
                  <c:v>951166</c:v>
                </c:pt>
                <c:pt idx="3">
                  <c:v>255144</c:v>
                </c:pt>
                <c:pt idx="4">
                  <c:v>303810</c:v>
                </c:pt>
                <c:pt idx="5">
                  <c:v>272547</c:v>
                </c:pt>
                <c:pt idx="6">
                  <c:v>602249</c:v>
                </c:pt>
                <c:pt idx="7">
                  <c:v>274925</c:v>
                </c:pt>
                <c:pt idx="8">
                  <c:v>1437</c:v>
                </c:pt>
                <c:pt idx="9">
                  <c:v>1325804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93-4051-B7C8-A64AF9487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52253520"/>
        <c:axId val="1852254960"/>
        <c:axId val="0"/>
      </c:bar3DChart>
      <c:catAx>
        <c:axId val="1852253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254960"/>
        <c:crosses val="autoZero"/>
        <c:auto val="1"/>
        <c:lblAlgn val="ctr"/>
        <c:lblOffset val="100"/>
        <c:noMultiLvlLbl val="0"/>
      </c:catAx>
      <c:valAx>
        <c:axId val="18522549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25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20000"/>
        <a:lumOff val="80000"/>
      </a:schemeClr>
    </a:solidFill>
    <a:ln w="25400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MINI PROJECT DATASET - WEEK 01 solved.xlsx]Sheet3!PivotTable3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CONTINENT</a:t>
            </a:r>
            <a:r>
              <a:rPr lang="en-US" baseline="0"/>
              <a:t> WISE CASE DISTRIBUTION</a:t>
            </a:r>
          </a:p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E462-4728-A984-A4EE2C74FF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462-4728-A984-A4EE2C74FF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E462-4728-A984-A4EE2C74FF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462-4728-A984-A4EE2C74FF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E462-4728-A984-A4EE2C74FF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462-4728-A984-A4EE2C74FF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Sheet3!$A$4:$A$10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Australia/Oceania</c:v>
                </c:pt>
                <c:pt idx="3">
                  <c:v>Europe</c:v>
                </c:pt>
                <c:pt idx="4">
                  <c:v>North America</c:v>
                </c:pt>
                <c:pt idx="5">
                  <c:v>South America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56</c:v>
                </c:pt>
                <c:pt idx="1">
                  <c:v>47</c:v>
                </c:pt>
                <c:pt idx="2">
                  <c:v>4</c:v>
                </c:pt>
                <c:pt idx="3">
                  <c:v>45</c:v>
                </c:pt>
                <c:pt idx="4">
                  <c:v>23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2-4728-A984-A4EE2C74FFD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20000"/>
        <a:lumOff val="80000"/>
      </a:schemeClr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MINI PROJECT DATASET - WEEK 01 solved.xlsx]Sheet2!PivotTable2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CASE TRENDS TIME WISE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chemeClr val="tx2">
            <a:lumMod val="25000"/>
            <a:lumOff val="75000"/>
          </a:schemeClr>
        </a:solidFill>
        <a:ln>
          <a:noFill/>
        </a:ln>
        <a:effectLst/>
        <a:sp3d/>
      </c:spPr>
    </c:sideWall>
    <c:backWall>
      <c:thickness val="0"/>
      <c:spPr>
        <a:solidFill>
          <a:schemeClr val="tx2">
            <a:lumMod val="25000"/>
            <a:lumOff val="75000"/>
          </a:schemeClr>
        </a:solid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024759405074366E-2"/>
          <c:y val="0.18766221930592009"/>
          <c:w val="0.8383698600174978"/>
          <c:h val="0.66364209682123065"/>
        </c:manualLayout>
      </c:layout>
      <c:line3D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Sheet2!$A$4:$A$11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22</c:v>
                </c:pt>
                <c:pt idx="1">
                  <c:v>38</c:v>
                </c:pt>
                <c:pt idx="2">
                  <c:v>117</c:v>
                </c:pt>
                <c:pt idx="3">
                  <c:v>7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BC-482F-88F4-86DE4E34C1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46779600"/>
        <c:axId val="1846776240"/>
        <c:axId val="1654066608"/>
      </c:line3DChart>
      <c:catAx>
        <c:axId val="1846779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776240"/>
        <c:crosses val="autoZero"/>
        <c:auto val="1"/>
        <c:lblAlgn val="ctr"/>
        <c:lblOffset val="100"/>
        <c:noMultiLvlLbl val="0"/>
      </c:catAx>
      <c:valAx>
        <c:axId val="1846776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779600"/>
        <c:crosses val="autoZero"/>
        <c:crossBetween val="between"/>
      </c:valAx>
      <c:serAx>
        <c:axId val="165406660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776240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20000"/>
        <a:lumOff val="80000"/>
      </a:schemeClr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[Copy of MINI PROJECT DATASET - WEEK 01 solved.xlsx]Sheet4!PivotTable4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DEATH</a:t>
            </a:r>
            <a:r>
              <a:rPr lang="en-IN" baseline="0"/>
              <a:t> RATE VS CONFIRMED</a:t>
            </a:r>
          </a:p>
          <a:p>
            <a:pPr>
              <a:defRPr/>
            </a:pPr>
            <a:r>
              <a:rPr lang="en-IN" baseline="0"/>
              <a:t> CASES</a:t>
            </a:r>
            <a:endParaRPr lang="en-IN"/>
          </a:p>
        </c:rich>
      </c:tx>
      <c:layout>
        <c:manualLayout>
          <c:xMode val="edge"/>
          <c:yMode val="edge"/>
          <c:x val="0.4905254777070063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Count of Confirmed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Sheet4!$A$4:$A$11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22</c:v>
                </c:pt>
                <c:pt idx="1">
                  <c:v>38</c:v>
                </c:pt>
                <c:pt idx="2">
                  <c:v>117</c:v>
                </c:pt>
                <c:pt idx="3">
                  <c:v>7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73-4002-9853-E6A159861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6318032"/>
        <c:axId val="1876311312"/>
      </c:barChart>
      <c:lineChart>
        <c:grouping val="standard"/>
        <c:varyColors val="0"/>
        <c:ser>
          <c:idx val="1"/>
          <c:order val="1"/>
          <c:tx>
            <c:strRef>
              <c:f>Sheet4!$C$3</c:f>
              <c:strCache>
                <c:ptCount val="1"/>
                <c:pt idx="0">
                  <c:v>Average of Death rate%</c:v>
                </c:pt>
              </c:strCache>
            </c:strRef>
          </c:tx>
          <c:spPr>
            <a:ln w="34925" cap="rnd">
              <a:solidFill>
                <a:schemeClr val="accent1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shade val="76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Sheet4!$A$4:$A$11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Sheet4!$C$4:$C$11</c:f>
              <c:numCache>
                <c:formatCode>0.000%</c:formatCode>
                <c:ptCount val="7"/>
                <c:pt idx="0">
                  <c:v>3.6919709750074491E-2</c:v>
                </c:pt>
                <c:pt idx="1">
                  <c:v>3.8613286373628972E-2</c:v>
                </c:pt>
                <c:pt idx="2">
                  <c:v>2.2864998234968716E-2</c:v>
                </c:pt>
                <c:pt idx="3">
                  <c:v>6.8122581999350035E-2</c:v>
                </c:pt>
                <c:pt idx="4">
                  <c:v>2.3762376237623763E-2</c:v>
                </c:pt>
                <c:pt idx="5">
                  <c:v>5.365106069161011E-2</c:v>
                </c:pt>
                <c:pt idx="6">
                  <c:v>0.13710790008713331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73-4002-9853-E6A159861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2250160"/>
        <c:axId val="1852264560"/>
      </c:lineChart>
      <c:catAx>
        <c:axId val="187631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311312"/>
        <c:crosses val="autoZero"/>
        <c:auto val="1"/>
        <c:lblAlgn val="ctr"/>
        <c:lblOffset val="100"/>
        <c:noMultiLvlLbl val="0"/>
      </c:catAx>
      <c:valAx>
        <c:axId val="1876311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318032"/>
        <c:crosses val="autoZero"/>
        <c:crossBetween val="between"/>
      </c:valAx>
      <c:valAx>
        <c:axId val="1852264560"/>
        <c:scaling>
          <c:orientation val="minMax"/>
        </c:scaling>
        <c:delete val="0"/>
        <c:axPos val="r"/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250160"/>
        <c:crosses val="max"/>
        <c:crossBetween val="between"/>
      </c:valAx>
      <c:catAx>
        <c:axId val="18522501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522645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20000"/>
        <a:lumOff val="80000"/>
      </a:schemeClr>
    </a:solidFill>
    <a:ln w="222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MINI PROJECT DATASET - WEEK 01 solved.xlsx]Sheet9!PivotTable5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chemeClr val="tx1">
            <a:lumMod val="50000"/>
            <a:lumOff val="50000"/>
          </a:schemeClr>
        </a:solidFill>
        <a:ln>
          <a:noFill/>
        </a:ln>
        <a:effectLst/>
        <a:sp3d/>
      </c:spPr>
    </c:sideWall>
    <c:backWall>
      <c:thickness val="0"/>
      <c:spPr>
        <a:solidFill>
          <a:schemeClr val="tx1">
            <a:lumMod val="50000"/>
            <a:lumOff val="50000"/>
          </a:schemeClr>
        </a:solidFill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Sheet9!$A$4:$A$14</c:f>
              <c:strCache>
                <c:ptCount val="10"/>
                <c:pt idx="0">
                  <c:v>19132514</c:v>
                </c:pt>
                <c:pt idx="1">
                  <c:v>33016319</c:v>
                </c:pt>
                <c:pt idx="2">
                  <c:v>59381566</c:v>
                </c:pt>
                <c:pt idx="3">
                  <c:v>67922029</c:v>
                </c:pt>
                <c:pt idx="4">
                  <c:v>84097623</c:v>
                </c:pt>
                <c:pt idx="5">
                  <c:v>129066160</c:v>
                </c:pt>
                <c:pt idx="6">
                  <c:v>145940924</c:v>
                </c:pt>
                <c:pt idx="7">
                  <c:v>212710692</c:v>
                </c:pt>
                <c:pt idx="8">
                  <c:v>331198130</c:v>
                </c:pt>
                <c:pt idx="9">
                  <c:v>1381344997</c:v>
                </c:pt>
              </c:strCache>
            </c:strRef>
          </c:cat>
          <c:val>
            <c:numRef>
              <c:f>Sheet9!$B$4:$B$14</c:f>
              <c:numCache>
                <c:formatCode>General</c:formatCode>
                <c:ptCount val="10"/>
                <c:pt idx="0">
                  <c:v>347923</c:v>
                </c:pt>
                <c:pt idx="1">
                  <c:v>389717</c:v>
                </c:pt>
                <c:pt idx="2">
                  <c:v>452529</c:v>
                </c:pt>
                <c:pt idx="3">
                  <c:v>301708</c:v>
                </c:pt>
                <c:pt idx="4">
                  <c:v>293606</c:v>
                </c:pt>
                <c:pt idx="5">
                  <c:v>395489</c:v>
                </c:pt>
                <c:pt idx="6">
                  <c:v>816680</c:v>
                </c:pt>
                <c:pt idx="7">
                  <c:v>2442375</c:v>
                </c:pt>
                <c:pt idx="8">
                  <c:v>4290259</c:v>
                </c:pt>
                <c:pt idx="9">
                  <c:v>1480073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0-4094-99BB-C8EE618AF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0640688"/>
        <c:axId val="1890637808"/>
        <c:axId val="0"/>
      </c:bar3DChart>
      <c:catAx>
        <c:axId val="189064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637808"/>
        <c:crosses val="autoZero"/>
        <c:auto val="1"/>
        <c:lblAlgn val="ctr"/>
        <c:lblOffset val="100"/>
        <c:noMultiLvlLbl val="0"/>
      </c:catAx>
      <c:valAx>
        <c:axId val="189063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64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20000"/>
        <a:lumOff val="80000"/>
      </a:schemeClr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MINI PROJECT DATASET - WEEK 01 solved.xlsx]Sheet9!PivotTable5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046211436685168"/>
          <c:y val="0.26401823379319928"/>
          <c:w val="0.64612409104599633"/>
          <c:h val="0.32314792475453102"/>
        </c:manualLayout>
      </c:layout>
      <c:line3DChart>
        <c:grouping val="standar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Sheet9!$A$4:$A$14</c:f>
              <c:strCache>
                <c:ptCount val="10"/>
                <c:pt idx="0">
                  <c:v>19132514</c:v>
                </c:pt>
                <c:pt idx="1">
                  <c:v>33016319</c:v>
                </c:pt>
                <c:pt idx="2">
                  <c:v>59381566</c:v>
                </c:pt>
                <c:pt idx="3">
                  <c:v>67922029</c:v>
                </c:pt>
                <c:pt idx="4">
                  <c:v>84097623</c:v>
                </c:pt>
                <c:pt idx="5">
                  <c:v>129066160</c:v>
                </c:pt>
                <c:pt idx="6">
                  <c:v>145940924</c:v>
                </c:pt>
                <c:pt idx="7">
                  <c:v>212710692</c:v>
                </c:pt>
                <c:pt idx="8">
                  <c:v>331198130</c:v>
                </c:pt>
                <c:pt idx="9">
                  <c:v>1381344997</c:v>
                </c:pt>
              </c:strCache>
            </c:strRef>
          </c:cat>
          <c:val>
            <c:numRef>
              <c:f>Sheet9!$B$4:$B$14</c:f>
              <c:numCache>
                <c:formatCode>General</c:formatCode>
                <c:ptCount val="10"/>
                <c:pt idx="0">
                  <c:v>347923</c:v>
                </c:pt>
                <c:pt idx="1">
                  <c:v>389717</c:v>
                </c:pt>
                <c:pt idx="2">
                  <c:v>452529</c:v>
                </c:pt>
                <c:pt idx="3">
                  <c:v>301708</c:v>
                </c:pt>
                <c:pt idx="4">
                  <c:v>293606</c:v>
                </c:pt>
                <c:pt idx="5">
                  <c:v>395489</c:v>
                </c:pt>
                <c:pt idx="6">
                  <c:v>816680</c:v>
                </c:pt>
                <c:pt idx="7">
                  <c:v>2442375</c:v>
                </c:pt>
                <c:pt idx="8">
                  <c:v>4290259</c:v>
                </c:pt>
                <c:pt idx="9">
                  <c:v>1480073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1F-43AB-8735-7CD840DAB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637328"/>
        <c:axId val="1890639728"/>
        <c:axId val="1850663744"/>
      </c:line3DChart>
      <c:catAx>
        <c:axId val="1890637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639728"/>
        <c:crosses val="autoZero"/>
        <c:auto val="1"/>
        <c:lblAlgn val="ctr"/>
        <c:lblOffset val="100"/>
        <c:noMultiLvlLbl val="0"/>
      </c:catAx>
      <c:valAx>
        <c:axId val="189063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637328"/>
        <c:crosses val="autoZero"/>
        <c:crossBetween val="between"/>
      </c:valAx>
      <c:serAx>
        <c:axId val="185066374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639728"/>
        <c:crosses val="autoZero"/>
      </c:serAx>
      <c:spPr>
        <a:solidFill>
          <a:schemeClr val="bg2">
            <a:lumMod val="90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20000"/>
        <a:lumOff val="80000"/>
      </a:schemeClr>
    </a:solidFill>
    <a:ln w="222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8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129540</xdr:colOff>
      <xdr:row>1</xdr:row>
      <xdr:rowOff>175260</xdr:rowOff>
    </xdr:from>
    <xdr:to>
      <xdr:col>27</xdr:col>
      <xdr:colOff>251460</xdr:colOff>
      <xdr:row>19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1288E6-BEDC-6481-BB03-7BCBE648C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274320</xdr:colOff>
      <xdr:row>1</xdr:row>
      <xdr:rowOff>129540</xdr:rowOff>
    </xdr:from>
    <xdr:to>
      <xdr:col>12</xdr:col>
      <xdr:colOff>167640</xdr:colOff>
      <xdr:row>19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8BC6BD-3FDF-BB44-6EFC-4C7C00944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1</xdr:row>
      <xdr:rowOff>30480</xdr:rowOff>
    </xdr:from>
    <xdr:to>
      <xdr:col>11</xdr:col>
      <xdr:colOff>441960</xdr:colOff>
      <xdr:row>16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A85461-B477-20E8-E16B-3714C7F96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1</xdr:row>
      <xdr:rowOff>53340</xdr:rowOff>
    </xdr:from>
    <xdr:to>
      <xdr:col>12</xdr:col>
      <xdr:colOff>304800</xdr:colOff>
      <xdr:row>17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4213D0-3442-FD6F-9AFA-CC0BE2F5C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502920</xdr:colOff>
      <xdr:row>2</xdr:row>
      <xdr:rowOff>60960</xdr:rowOff>
    </xdr:from>
    <xdr:to>
      <xdr:col>10</xdr:col>
      <xdr:colOff>114300</xdr:colOff>
      <xdr:row>17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1E864-0208-1DD8-F15A-3550F7BDF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403860</xdr:colOff>
      <xdr:row>2</xdr:row>
      <xdr:rowOff>76200</xdr:rowOff>
    </xdr:from>
    <xdr:to>
      <xdr:col>18</xdr:col>
      <xdr:colOff>175260</xdr:colOff>
      <xdr:row>17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A68C88-66BE-9AA1-9197-A2E14E2BC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RAJ" refreshedDate="46074.602162615738" createdVersion="8" refreshedVersion="8" minRefreshableVersion="3" recordCount="187" xr:uid="{1EEBC676-2032-4B19-8934-AFED0DC56CCA}">
  <cacheSource type="worksheet">
    <worksheetSource ref="A1:M188" sheet="data"/>
  </cacheSource>
  <cacheFields count="16">
    <cacheField name="Country/Region" numFmtId="0">
      <sharedItems count="187">
        <s v="Afghanistan"/>
        <s v="Albania"/>
        <s v="Algeria"/>
        <s v="Andorra"/>
        <s v="Angola"/>
        <s v="Antigua and Barbuda"/>
        <s v="Argentina"/>
        <s v="Armeni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hutan"/>
        <s v="Bolivia"/>
        <s v="Bosnia and Herzegovina"/>
        <s v="Botswana"/>
        <s v="Brazil"/>
        <s v="Brunei"/>
        <s v="Bulgaria"/>
        <s v="Burkina Faso"/>
        <s v="Myanmar"/>
        <s v="Burundi"/>
        <s v="Cabo Verde"/>
        <s v="Cambodia"/>
        <s v="Cameroon"/>
        <s v="Canada"/>
        <s v="Central African Republic"/>
        <s v="Chad"/>
        <s v="Chile"/>
        <s v="China"/>
        <s v="Colombia"/>
        <s v="Comoros"/>
        <s v="Congo (Brazzaville)"/>
        <s v="Congo (Kinshasa)"/>
        <s v="Costa Rica"/>
        <s v="Cote d'Ivoire"/>
        <s v="Croatia"/>
        <s v="Cuba"/>
        <s v="Cyprus"/>
        <s v="Czechia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iji"/>
        <s v="Finland"/>
        <s v="France"/>
        <s v="Gabon"/>
        <s v="Gambia"/>
        <s v="Georgia"/>
        <s v="Germany"/>
        <s v="Ghana"/>
        <s v="Greece"/>
        <s v="Greenland"/>
        <s v="Grenada"/>
        <s v="Guatemala"/>
        <s v="Guinea"/>
        <s v="Guinea-Bissau"/>
        <s v="Guyana"/>
        <s v="Haiti"/>
        <s v="Holy See"/>
        <s v="Honduras"/>
        <s v="Hungary"/>
        <s v="Iceland"/>
        <s v="India"/>
        <s v="Indonesia"/>
        <s v="Iran"/>
        <s v="Iraq"/>
        <s v="Ireland"/>
        <s v="Israel"/>
        <s v="Italy"/>
        <s v="Jamaica"/>
        <s v="Japan"/>
        <s v="Jordan"/>
        <s v="Kazakhstan"/>
        <s v="Kenya"/>
        <s v="Kosovo"/>
        <s v="Kuwait"/>
        <s v="Kyrgyzstan"/>
        <s v="Laos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uritania"/>
        <s v="Mauritius"/>
        <s v="Mexico"/>
        <s v="Moldova"/>
        <s v="Monaco"/>
        <s v="Mongolia"/>
        <s v="Montenegro"/>
        <s v="Morocco"/>
        <s v="Mozambique"/>
        <s v="Namibia"/>
        <s v="Nepal"/>
        <s v="Netherlands"/>
        <s v="New Zealand"/>
        <s v="Nicaragua"/>
        <s v="Niger"/>
        <s v="Nigeria"/>
        <s v="North Macedonia"/>
        <s v="Norway"/>
        <s v="Oman"/>
        <s v="Pakistan"/>
        <s v="Panama"/>
        <s v="Papua New Guinea"/>
        <s v="Paraguay"/>
        <s v="Peru"/>
        <s v="Philippines"/>
        <s v="Poland"/>
        <s v="Portugal"/>
        <s v="Qatar"/>
        <s v="Romania"/>
        <s v="Russia"/>
        <s v="Rwanda"/>
        <s v="Saint Kitts and Nevis"/>
        <s v="Saint Lucia"/>
        <s v="Saint Vincent and the Grenadines"/>
        <s v="San Marino"/>
        <s v="Sao Tome and Principe"/>
        <s v="Saudi Arabia"/>
        <s v="Senegal"/>
        <s v="Serbia"/>
        <s v="Seychelles"/>
        <s v="Sierra Leone"/>
        <s v="Singapore"/>
        <s v="Slovakia"/>
        <s v="Slovenia"/>
        <s v="Somalia"/>
        <s v="South Africa"/>
        <s v="South Korea"/>
        <s v="South Sudan"/>
        <s v="Spain"/>
        <s v="Sri Lanka"/>
        <s v="Sudan"/>
        <s v="Suriname"/>
        <s v="Sweden"/>
        <s v="Switzerland"/>
        <s v="Syria"/>
        <s v="Taiwan"/>
        <s v="Tajikistan"/>
        <s v="Tanzania"/>
        <s v="Thailand"/>
        <s v="Timor-Leste"/>
        <s v="Togo"/>
        <s v="Trinidad and Tobago"/>
        <s v="Tunisia"/>
        <s v="Turkey"/>
        <s v="US"/>
        <s v="Uganda"/>
        <s v="Ukraine"/>
        <s v="United Arab Emirates"/>
        <s v="United Kingdom"/>
        <s v="Uruguay"/>
        <s v="Uzbekistan"/>
        <s v="Venezuela"/>
        <s v="Vietnam"/>
        <s v="West Bank and Gaza"/>
        <s v="Western Sahara"/>
        <s v="Yemen"/>
        <s v="Zambia"/>
        <s v="Zimbabwe"/>
      </sharedItems>
    </cacheField>
    <cacheField name="Confirmed" numFmtId="0">
      <sharedItems containsMixedTypes="1" containsNumber="1" containsInteger="1" minValue="10" maxValue="4290259" count="184">
        <s v="36263"/>
        <n v="4880"/>
        <n v="27973"/>
        <n v="907"/>
        <n v="950"/>
        <n v="86"/>
        <n v="167416"/>
        <n v="37390"/>
        <n v="15303"/>
        <n v="20558"/>
        <n v="30446"/>
        <n v="382"/>
        <n v="39482"/>
        <n v="226225"/>
        <n v="110"/>
        <n v="67251"/>
        <n v="66428"/>
        <n v="48"/>
        <n v="1770"/>
        <n v="99"/>
        <n v="71181"/>
        <n v="10498"/>
        <n v="739"/>
        <n v="2442375"/>
        <n v="141"/>
        <n v="10621"/>
        <n v="1100"/>
        <n v="350"/>
        <n v="378"/>
        <n v="2328"/>
        <n v="226"/>
        <n v="17110"/>
        <n v="116458"/>
        <n v="4599"/>
        <n v="922"/>
        <n v="347923"/>
        <n v="86783"/>
        <n v="257101"/>
        <n v="354"/>
        <n v="3200"/>
        <n v="8844"/>
        <n v="15841"/>
        <n v="15655"/>
        <n v="4881"/>
        <n v="2532"/>
        <n v="1060"/>
        <n v="15516"/>
        <n v="13761"/>
        <n v="5059"/>
        <n v="18"/>
        <n v="64156"/>
        <n v="81161"/>
        <n v="92482"/>
        <n v="15035"/>
        <n v="3071"/>
        <n v="265"/>
        <n v="2034"/>
        <n v="2316"/>
        <n v="14547"/>
        <n v="27"/>
        <n v="7398"/>
        <n v="220352"/>
        <n v="7189"/>
        <n v="326"/>
        <n v="1137"/>
        <n v="207112"/>
        <n v="33624"/>
        <n v="4227"/>
        <n v="14"/>
        <n v="23"/>
        <n v="45309"/>
        <n v="7055"/>
        <n v="1954"/>
        <n v="389"/>
        <n v="7340"/>
        <n v="12"/>
        <n v="39741"/>
        <n v="4448"/>
        <n v="1854"/>
        <n v="1480073"/>
        <n v="100303"/>
        <n v="293606"/>
        <n v="112585"/>
        <n v="25892"/>
        <n v="63985"/>
        <n v="246286"/>
        <n v="853"/>
        <n v="31142"/>
        <n v="1176"/>
        <n v="84648"/>
        <n v="17975"/>
        <n v="7413"/>
        <n v="64379"/>
        <n v="33296"/>
        <n v="20"/>
        <n v="1219"/>
        <n v="3882"/>
        <n v="505"/>
        <n v="1167"/>
        <n v="2827"/>
        <n v="2019"/>
        <n v="6321"/>
        <n v="9690"/>
        <n v="3664"/>
        <n v="8904"/>
        <n v="3369"/>
        <n v="2513"/>
        <n v="701"/>
        <n v="6208"/>
        <n v="344"/>
        <n v="395489"/>
        <n v="23154"/>
        <n v="116"/>
        <n v="289"/>
        <n v="2893"/>
        <n v="20887"/>
        <n v="1701"/>
        <n v="1843"/>
        <n v="18752"/>
        <n v="53413"/>
        <n v="1557"/>
        <n v="3439"/>
        <n v="1132"/>
        <n v="41180"/>
        <n v="10213"/>
        <n v="9132"/>
        <n v="77058"/>
        <n v="274289"/>
        <n v="61442"/>
        <n v="62"/>
        <n v="4548"/>
        <n v="389717"/>
        <n v="82040"/>
        <n v="43402"/>
        <n v="50299"/>
        <n v="109597"/>
        <n v="45902"/>
        <n v="816680"/>
        <n v="1879"/>
        <n v="17"/>
        <n v="24"/>
        <n v="52"/>
        <n v="699"/>
        <n v="865"/>
        <n v="268934"/>
        <n v="9764"/>
        <n v="24141"/>
        <n v="114"/>
        <n v="1783"/>
        <n v="50838"/>
        <n v="2181"/>
        <n v="2087"/>
        <n v="3196"/>
        <n v="452529"/>
        <n v="14203"/>
        <n v="2305"/>
        <n v="272421"/>
        <n v="2805"/>
        <n v="11424"/>
        <n v="1483"/>
        <n v="79395"/>
        <n v="34477"/>
        <n v="674"/>
        <n v="462"/>
        <n v="7235"/>
        <n v="509"/>
        <n v="3297"/>
        <n v="874"/>
        <n v="148"/>
        <n v="1455"/>
        <n v="227019"/>
        <n v="4290259"/>
        <n v="1128"/>
        <n v="67096"/>
        <n v="59177"/>
        <n v="301708"/>
        <n v="1202"/>
        <n v="21209"/>
        <n v="15988"/>
        <n v="431"/>
        <n v="10"/>
        <n v="1691"/>
        <n v="4552"/>
        <n v="2704"/>
      </sharedItems>
    </cacheField>
    <cacheField name="Deaths" numFmtId="0">
      <sharedItems containsMixedTypes="1" containsNumber="1" containsInteger="1" minValue="0" maxValue="148011" count="150">
        <s v="1269"/>
        <n v="144"/>
        <n v="1163"/>
        <n v="52"/>
        <n v="41"/>
        <n v="3"/>
        <n v="3059"/>
        <n v="711"/>
        <n v="167"/>
        <n v="713"/>
        <n v="423"/>
        <n v="11"/>
        <n v="141"/>
        <n v="2965"/>
        <n v="7"/>
        <n v="538"/>
        <n v="9822"/>
        <n v="2"/>
        <n v="35"/>
        <n v="0"/>
        <n v="2647"/>
        <n v="294"/>
        <n v="87618"/>
        <n v="347"/>
        <n v="53"/>
        <n v="6"/>
        <n v="1"/>
        <n v="22"/>
        <n v="391"/>
        <n v="8944"/>
        <n v="59"/>
        <n v="75"/>
        <n v="9187"/>
        <n v="4656"/>
        <n v="8777"/>
        <n v="54"/>
        <n v="208"/>
        <n v="115"/>
        <n v="96"/>
        <n v="139"/>
        <n v="87"/>
        <n v="19"/>
        <n v="373"/>
        <n v="613"/>
        <n v="58"/>
        <n v="1083"/>
        <n v="5532"/>
        <n v="4652"/>
        <n v="408"/>
        <n v="51"/>
        <n v="69"/>
        <n v="34"/>
        <n v="228"/>
        <n v="329"/>
        <n v="30212"/>
        <n v="49"/>
        <n v="8"/>
        <n v="16"/>
        <n v="9125"/>
        <n v="168"/>
        <n v="202"/>
        <n v="1761"/>
        <n v="45"/>
        <n v="26"/>
        <n v="20"/>
        <n v="158"/>
        <n v="1166"/>
        <n v="596"/>
        <n v="10"/>
        <n v="33408"/>
        <n v="4838"/>
        <n v="15912"/>
        <n v="4458"/>
        <n v="1764"/>
        <n v="474"/>
        <n v="35112"/>
        <n v="998"/>
        <n v="585"/>
        <n v="285"/>
        <n v="185"/>
        <n v="438"/>
        <n v="1301"/>
        <n v="31"/>
        <n v="12"/>
        <n v="72"/>
        <n v="64"/>
        <n v="80"/>
        <n v="112"/>
        <n v="91"/>
        <n v="99"/>
        <n v="124"/>
        <n v="15"/>
        <n v="9"/>
        <n v="156"/>
        <n v="44022"/>
        <n v="748"/>
        <n v="4"/>
        <n v="316"/>
        <n v="48"/>
        <n v="6160"/>
        <n v="108"/>
        <n v="860"/>
        <n v="466"/>
        <n v="255"/>
        <n v="393"/>
        <n v="5842"/>
        <n v="1322"/>
        <n v="43"/>
        <n v="18418"/>
        <n v="1945"/>
        <n v="1676"/>
        <n v="1719"/>
        <n v="165"/>
        <n v="2206"/>
        <n v="13334"/>
        <n v="5"/>
        <n v="42"/>
        <n v="14"/>
        <n v="2760"/>
        <n v="194"/>
        <n v="543"/>
        <n v="66"/>
        <n v="27"/>
        <n v="28"/>
        <n v="116"/>
        <n v="93"/>
        <n v="7067"/>
        <n v="300"/>
        <n v="46"/>
        <n v="28432"/>
        <n v="720"/>
        <n v="24"/>
        <n v="5700"/>
        <n v="1978"/>
        <n v="40"/>
        <n v="60"/>
        <n v="21"/>
        <n v="18"/>
        <n v="50"/>
        <n v="5630"/>
        <n v="148011"/>
        <n v="1636"/>
        <n v="345"/>
        <n v="45844"/>
        <n v="121"/>
        <n v="146"/>
        <n v="78"/>
        <n v="483"/>
        <n v="140"/>
        <n v="36"/>
      </sharedItems>
    </cacheField>
    <cacheField name="Recovered" numFmtId="0">
      <sharedItems containsMixedTypes="1" containsNumber="1" containsInteger="1" minValue="0" maxValue="1846641" count="178">
        <s v="25198"/>
        <n v="2745"/>
        <n v="18837"/>
        <n v="803"/>
        <n v="242"/>
        <n v="65"/>
        <n v="72575"/>
        <n v="26665"/>
        <n v="9311"/>
        <n v="18246"/>
        <n v="23242"/>
        <n v="91"/>
        <n v="36110"/>
        <n v="125683"/>
        <n v="94"/>
        <n v="60492"/>
        <n v="17452"/>
        <n v="26"/>
        <n v="1036"/>
        <n v="86"/>
        <n v="21478"/>
        <n v="4930"/>
        <n v="63"/>
        <n v="1846641"/>
        <n v="138"/>
        <n v="5585"/>
        <n v="926"/>
        <n v="292"/>
        <n v="301"/>
        <n v="1550"/>
        <n v="147"/>
        <n v="14539"/>
        <n v="0"/>
        <n v="1546"/>
        <n v="810"/>
        <n v="319954"/>
        <n v="78869"/>
        <n v="131161"/>
        <n v="328"/>
        <n v="829"/>
        <n v="5700"/>
        <n v="3824"/>
        <n v="10361"/>
        <n v="3936"/>
        <n v="2351"/>
        <n v="852"/>
        <n v="11428"/>
        <n v="12605"/>
        <n v="4977"/>
        <n v="18"/>
        <n v="30204"/>
        <n v="34896"/>
        <n v="34838"/>
        <n v="7778"/>
        <n v="842"/>
        <n v="191"/>
        <n v="1923"/>
        <n v="1025"/>
        <n v="6386"/>
        <n v="6920"/>
        <n v="81212"/>
        <n v="4682"/>
        <n v="66"/>
        <n v="922"/>
        <n v="190314"/>
        <n v="29801"/>
        <n v="1374"/>
        <n v="13"/>
        <n v="23"/>
        <n v="32455"/>
        <n v="6257"/>
        <n v="181"/>
        <n v="4365"/>
        <n v="12"/>
        <n v="5039"/>
        <n v="3329"/>
        <n v="1823"/>
        <n v="951166"/>
        <n v="58173"/>
        <n v="255144"/>
        <n v="77144"/>
        <n v="23364"/>
        <n v="27133"/>
        <n v="198593"/>
        <n v="714"/>
        <n v="21970"/>
        <n v="1041"/>
        <n v="54404"/>
        <n v="7833"/>
        <n v="4027"/>
        <n v="55057"/>
        <n v="21205"/>
        <n v="19"/>
        <n v="1045"/>
        <n v="1709"/>
        <n v="128"/>
        <n v="646"/>
        <n v="577"/>
        <n v="81"/>
        <n v="1620"/>
        <n v="4825"/>
        <n v="6260"/>
        <n v="1645"/>
        <n v="8601"/>
        <n v="2547"/>
        <n v="1913"/>
        <n v="665"/>
        <n v="4653"/>
        <n v="332"/>
        <n v="303810"/>
        <n v="16154"/>
        <n v="104"/>
        <n v="222"/>
        <n v="809"/>
        <n v="16553"/>
        <n v="101"/>
        <n v="13754"/>
        <n v="189"/>
        <n v="1514"/>
        <n v="2492"/>
        <n v="1027"/>
        <n v="18203"/>
        <n v="5564"/>
        <n v="8752"/>
        <n v="57028"/>
        <n v="241026"/>
        <n v="35086"/>
        <n v="11"/>
        <n v="2905"/>
        <n v="272547"/>
        <n v="26446"/>
        <n v="32856"/>
        <n v="35375"/>
        <n v="106328"/>
        <n v="25794"/>
        <n v="602249"/>
        <n v="975"/>
        <n v="15"/>
        <n v="22"/>
        <n v="39"/>
        <n v="657"/>
        <n v="734"/>
        <n v="222936"/>
        <n v="6477"/>
        <n v="1317"/>
        <n v="45692"/>
        <n v="1616"/>
        <n v="1733"/>
        <n v="1543"/>
        <n v="274925"/>
        <n v="13007"/>
        <n v="1175"/>
        <n v="150376"/>
        <n v="2121"/>
        <n v="5939"/>
        <n v="925"/>
        <n v="30900"/>
        <n v="440"/>
        <n v="6028"/>
        <n v="183"/>
        <n v="3111"/>
        <n v="607"/>
        <n v="1157"/>
        <n v="210469"/>
        <n v="1325804"/>
        <n v="986"/>
        <n v="37202"/>
        <n v="52510"/>
        <n v="1437"/>
        <n v="951"/>
        <n v="11674"/>
        <n v="9959"/>
        <n v="365"/>
        <n v="3752"/>
        <n v="8"/>
        <n v="833"/>
        <n v="2815"/>
        <n v="542"/>
      </sharedItems>
    </cacheField>
    <cacheField name="Active" numFmtId="0">
      <sharedItems containsMixedTypes="1" containsNumber="1" containsInteger="1" minValue="0" maxValue="2816444" count="173">
        <s v="9796"/>
        <n v="1991"/>
        <n v="7973"/>
        <n v="52"/>
        <n v="667"/>
        <n v="18"/>
        <n v="91782"/>
        <n v="10014"/>
        <n v="5825"/>
        <n v="1599"/>
        <n v="6781"/>
        <n v="280"/>
        <n v="3231"/>
        <n v="97577"/>
        <n v="9"/>
        <n v="6221"/>
        <n v="39154"/>
        <n v="20"/>
        <n v="699"/>
        <n v="13"/>
        <n v="47056"/>
        <n v="5274"/>
        <n v="674"/>
        <n v="508116"/>
        <n v="0"/>
        <n v="4689"/>
        <n v="121"/>
        <n v="76"/>
        <n v="756"/>
        <n v="79"/>
        <n v="2180"/>
        <n v="107514"/>
        <n v="2994"/>
        <n v="37"/>
        <n v="18782"/>
        <n v="3258"/>
        <n v="117163"/>
        <n v="19"/>
        <n v="2317"/>
        <n v="2936"/>
        <n v="11902"/>
        <n v="5198"/>
        <n v="806"/>
        <n v="94"/>
        <n v="189"/>
        <n v="3715"/>
        <n v="543"/>
        <n v="24"/>
        <n v="32869"/>
        <n v="40733"/>
        <n v="52992"/>
        <n v="6849"/>
        <n v="2178"/>
        <n v="74"/>
        <n v="42"/>
        <n v="1257"/>
        <n v="7933"/>
        <n v="149"/>
        <n v="108928"/>
        <n v="2458"/>
        <n v="252"/>
        <n v="199"/>
        <n v="7673"/>
        <n v="3655"/>
        <n v="2651"/>
        <n v="1"/>
        <n v="11093"/>
        <n v="753"/>
        <n v="1125"/>
        <n v="188"/>
        <n v="2817"/>
        <n v="33536"/>
        <n v="523"/>
        <n v="21"/>
        <n v="495499"/>
        <n v="37292"/>
        <n v="22550"/>
        <n v="30983"/>
        <n v="764"/>
        <n v="36378"/>
        <n v="12581"/>
        <n v="129"/>
        <n v="8174"/>
        <n v="124"/>
        <n v="29659"/>
        <n v="9857"/>
        <n v="3201"/>
        <n v="8884"/>
        <n v="10790"/>
        <n v="143"/>
        <n v="2122"/>
        <n v="365"/>
        <n v="449"/>
        <n v="2186"/>
        <n v="4"/>
        <n v="319"/>
        <n v="1384"/>
        <n v="3339"/>
        <n v="1920"/>
        <n v="179"/>
        <n v="807"/>
        <n v="476"/>
        <n v="27"/>
        <n v="1399"/>
        <n v="2"/>
        <n v="47657"/>
        <n v="6252"/>
        <n v="8"/>
        <n v="67"/>
        <n v="2039"/>
        <n v="4018"/>
        <n v="1690"/>
        <n v="1734"/>
        <n v="4950"/>
        <n v="47064"/>
        <n v="839"/>
        <n v="36"/>
        <n v="22117"/>
        <n v="4183"/>
        <n v="125"/>
        <n v="19637"/>
        <n v="27421"/>
        <n v="25034"/>
        <n v="51"/>
        <n v="1600"/>
        <n v="98752"/>
        <n v="53649"/>
        <n v="8870"/>
        <n v="13205"/>
        <n v="3104"/>
        <n v="17902"/>
        <n v="201097"/>
        <n v="899"/>
        <n v="117"/>
        <n v="43238"/>
        <n v="3093"/>
        <n v="23598"/>
        <n v="75"/>
        <n v="400"/>
        <n v="5119"/>
        <n v="537"/>
        <n v="238"/>
        <n v="1560"/>
        <n v="170537"/>
        <n v="896"/>
        <n v="1084"/>
        <n v="93613"/>
        <n v="673"/>
        <n v="4765"/>
        <n v="534"/>
        <n v="73695"/>
        <n v="634"/>
        <n v="15"/>
        <n v="1147"/>
        <n v="305"/>
        <n v="128"/>
        <n v="249"/>
        <n v="12"/>
        <n v="248"/>
        <n v="10920"/>
        <n v="2816444"/>
        <n v="140"/>
        <n v="28258"/>
        <n v="6322"/>
        <n v="254427"/>
        <n v="216"/>
        <n v="9414"/>
        <n v="5883"/>
        <n v="66"/>
        <n v="6791"/>
        <n v="375"/>
        <n v="1597"/>
        <n v="2126"/>
      </sharedItems>
    </cacheField>
    <cacheField name="Population" numFmtId="0">
      <sharedItems containsMixedTypes="1" containsNumber="1" containsInteger="1" minValue="528" maxValue="1411778724" count="187">
        <s v="39009447"/>
        <n v="2877470"/>
        <n v="43926079"/>
        <n v="77278"/>
        <n v="32956300"/>
        <n v="98010"/>
        <n v="45236884"/>
        <n v="2963811"/>
        <n v="25528864"/>
        <n v="9011577"/>
        <n v="10148243"/>
        <n v="393616"/>
        <n v="1706669"/>
        <n v="164851401"/>
        <n v="287411"/>
        <n v="9449001"/>
        <n v="11594739"/>
        <n v="398312"/>
        <n v="12151976"/>
        <n v="772443"/>
        <n v="11688459"/>
        <n v="3278650"/>
        <n v="2356075"/>
        <n v="212710692"/>
        <n v="437893"/>
        <n v="6942854"/>
        <n v="20954852"/>
        <n v="54446389"/>
        <n v="11922216"/>
        <n v="556581"/>
        <n v="16741375"/>
        <n v="26606188"/>
        <n v="37775022"/>
        <n v="4837752"/>
        <s v=" 17224679"/>
        <n v="19132514"/>
        <n v="1411778724"/>
        <n v="50936262"/>
        <n v="871326"/>
        <n v="5530506"/>
        <n v="96076573"/>
        <n v="5098730"/>
        <n v="26172000"/>
        <n v="4102577"/>
        <n v="11325899"/>
        <n v="1208238"/>
        <n v="10711019"/>
        <n v="5794279"/>
        <n v="989387"/>
        <n v="72004"/>
        <n v="10858648"/>
        <n v="17668824"/>
        <n v="102516525"/>
        <n v="6489514"/>
        <n v="1407001"/>
        <n v="3551175"/>
        <n v="1326627"/>
        <n v="1161348"/>
        <n v="115223736"/>
        <n v="897095"/>
        <n v="5541604"/>
        <n v="65288306"/>
        <n v="2230563"/>
        <n v="2422754"/>
        <n v="3988368"/>
        <n v="83811260"/>
        <n v="31133483"/>
        <n v="10417673"/>
        <n v="56780"/>
        <n v="112576"/>
        <n v="17946899"/>
        <n v="13164905"/>
        <n v="1972277"/>
        <n v="786936"/>
        <n v="11416103"/>
        <n v="528"/>
        <n v="10012084"/>
        <n v="9657785"/>
        <n v="341465"/>
        <n v="1381344997"/>
        <n v="273808365"/>
        <n v="84097623"/>
        <n v="40306025"/>
        <n v="4943200"/>
        <n v="9197590"/>
        <n v="60452568"/>
        <n v="2962478"/>
        <n v="126435859"/>
        <n v="10213138"/>
        <n v="18798667"/>
        <n v="53881160"/>
        <n v="1790152"/>
        <n v="4276658"/>
        <n v="6534479"/>
        <n v="7285750"/>
        <n v="1883936"/>
        <n v="6822220"/>
        <n v="2143943"/>
        <n v="5068618"/>
        <n v="6880353"/>
        <n v="38139"/>
        <n v="2718121"/>
        <n v="626952"/>
        <n v="27755708"/>
        <n v="19174839"/>
        <n v="32406372"/>
        <n v="541448"/>
        <n v="20302901"/>
        <n v="441663"/>
        <n v="4660728"/>
        <n v="1271985"/>
        <n v="129066160"/>
        <n v="4032983"/>
        <n v="39270"/>
        <n v="3283344"/>
        <n v="628074"/>
        <n v="36953359"/>
        <n v="31333962"/>
        <n v="2545264"/>
        <n v="29186486"/>
        <n v="17138756"/>
        <n v="5002100"/>
        <n v="6632263"/>
        <n v="24281433"/>
        <n v="206606300"/>
        <n v="2083365"/>
        <n v="5425471"/>
        <n v="5118446"/>
        <n v="221295851"/>
        <n v="5112340"/>
        <n v="8963009"/>
        <n v="7141091"/>
        <n v="33016319"/>
        <n v="109722719"/>
        <n v="37842302"/>
        <n v="10193593"/>
        <n v="2807805"/>
        <n v="19224023"/>
        <n v="145940924"/>
        <n v="12981546"/>
        <n v="53237"/>
        <n v="183712"/>
        <n v="104000"/>
        <n v="33938"/>
        <n v="219544"/>
        <n v="34865919"/>
        <n v="16783877"/>
        <n v="8733665"/>
        <n v="98408"/>
        <n v="7992169"/>
        <n v="5854932"/>
        <n v="5459915"/>
        <n v="2078968"/>
        <n v="15933012"/>
        <n v="59381566"/>
        <n v="51273732"/>
        <n v="11206572"/>
        <n v="46756648"/>
        <n v="21422362"/>
        <n v="43943536"/>
        <n v="587154"/>
        <n v="10105596"/>
        <n v="8660952"/>
        <n v="17539600"/>
        <n v="23821199"/>
        <n v="9557468"/>
        <n v="59886383"/>
        <n v="69817894"/>
        <n v="1320812"/>
        <n v="8296582"/>
        <n v="1399950"/>
        <n v="11830801"/>
        <n v="84428331"/>
        <n v="331198130"/>
        <n v="45867852"/>
        <n v="43705858"/>
        <n v="9902079"/>
        <n v="67922029"/>
        <n v="3474956"/>
        <n v="33516027"/>
        <n v="28427499"/>
        <n v="97425470"/>
        <n v="4800000"/>
        <n v="598682"/>
        <n v="29886897"/>
        <n v="18430129"/>
        <n v="14883803"/>
      </sharedItems>
    </cacheField>
    <cacheField name="Continent" numFmtId="0">
      <sharedItems count="6">
        <s v="Asia"/>
        <s v="Europe"/>
        <s v="Africa"/>
        <s v="North America"/>
        <s v="South America"/>
        <s v="Australia/Oceania"/>
      </sharedItems>
    </cacheField>
    <cacheField name="Date of First Case" numFmtId="164">
      <sharedItems containsSemiMixedTypes="0" containsNonDate="0" containsDate="1" containsString="0" minDate="2019-11-17T00:00:00" maxDate="2020-05-14T00:00:00" count="57">
        <d v="2020-02-24T00:00:00"/>
        <d v="2020-03-09T00:00:00"/>
        <d v="2020-02-25T00:00:00"/>
        <d v="2020-03-02T00:00:00"/>
        <d v="2020-03-21T00:00:00"/>
        <d v="2020-03-13T00:00:00"/>
        <d v="2020-03-03T00:00:00"/>
        <d v="2020-03-01T00:00:00"/>
        <d v="2020-01-25T00:00:00"/>
        <d v="2020-02-28T00:00:00"/>
        <d v="2020-03-15T00:00:00"/>
        <d v="2020-02-21T00:00:00"/>
        <d v="2020-03-08T00:00:00"/>
        <d v="2020-03-17T00:00:00"/>
        <d v="2020-02-04T00:00:00"/>
        <d v="2020-03-23T00:00:00"/>
        <d v="2020-03-16T00:00:00"/>
        <d v="2020-03-06T00:00:00"/>
        <d v="2020-03-10T00:00:00"/>
        <d v="2020-03-05T00:00:00"/>
        <d v="2020-03-30T00:00:00"/>
        <d v="2020-02-26T00:00:00"/>
        <d v="2020-03-31T00:00:00"/>
        <d v="2020-03-20T00:00:00"/>
        <d v="2020-01-27T00:00:00"/>
        <d v="2020-03-14T00:00:00"/>
        <d v="2020-03-19T00:00:00"/>
        <d v="2019-11-17T00:00:00"/>
        <d v="2020-04-30T00:00:00"/>
        <d v="2020-03-11T00:00:00"/>
        <d v="2020-02-27T00:00:00"/>
        <d v="2020-03-18T00:00:00"/>
        <d v="2020-03-22T00:00:00"/>
        <d v="2020-02-29T00:00:00"/>
        <d v="2020-02-14T00:00:00"/>
        <d v="2019-12-27T00:00:00"/>
        <d v="2020-03-12T00:00:00"/>
        <d v="2020-03-25T00:00:00"/>
        <d v="2020-03-04T00:00:00"/>
        <d v="2020-01-30T00:00:00"/>
        <d v="2020-02-19T00:00:00"/>
        <d v="2020-02-22T00:00:00"/>
        <d v="2020-01-31T00:00:00"/>
        <d v="2020-01-16T00:00:00"/>
        <d v="2020-03-24T00:00:00"/>
        <d v="2020-05-13T00:00:00"/>
        <d v="2020-04-01T00:00:00"/>
        <d v="2020-03-07T00:00:00"/>
        <d v="2020-01-13T00:00:00"/>
        <d v="2020-04-06T00:00:00"/>
        <d v="2020-01-23T00:00:00"/>
        <d v="2020-01-20T00:00:00"/>
        <d v="2020-04-05T00:00:00"/>
        <d v="2020-01-21T00:00:00"/>
        <d v="2020-01-29T00:00:00"/>
        <d v="2020-04-04T00:00:00"/>
        <d v="2020-04-10T00:00:00"/>
      </sharedItems>
      <fieldGroup par="15"/>
    </cacheField>
    <cacheField name="Death rate%" numFmtId="10">
      <sharedItems containsSemiMixedTypes="0" containsString="0" containsNumber="1" minValue="0" maxValue="0.28562980484920164"/>
    </cacheField>
    <cacheField name="Recovery rate%" numFmtId="9">
      <sharedItems containsSemiMixedTypes="0" containsString="0" containsNumber="1" minValue="0" maxValue="1"/>
    </cacheField>
    <cacheField name="Infection rate%" numFmtId="166">
      <sharedItems containsMixedTypes="1" containsNumber="1" minValue="2.7450845829187114E-6" maxValue="3.9032981278970584E-2"/>
    </cacheField>
    <cacheField name="Death rate category" numFmtId="0">
      <sharedItems/>
    </cacheField>
    <cacheField name="Death rate number wise" numFmtId="0">
      <sharedItems containsSemiMixedTypes="0" containsString="0" containsNumber="1" containsInteger="1" minValue="1" maxValue="3"/>
    </cacheField>
    <cacheField name="Months (Date of First Case)" numFmtId="0" databaseField="0">
      <fieldGroup base="7">
        <rangePr groupBy="months" startDate="2019-11-17T00:00:00" endDate="2020-05-14T00:00:00"/>
        <groupItems count="14">
          <s v="&lt;17-1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4-05-2020"/>
        </groupItems>
      </fieldGroup>
    </cacheField>
    <cacheField name="Quarters (Date of First Case)" numFmtId="0" databaseField="0">
      <fieldGroup base="7">
        <rangePr groupBy="quarters" startDate="2019-11-17T00:00:00" endDate="2020-05-14T00:00:00"/>
        <groupItems count="6">
          <s v="&lt;17-11-2019"/>
          <s v="Qtr1"/>
          <s v="Qtr2"/>
          <s v="Qtr3"/>
          <s v="Qtr4"/>
          <s v="&gt;14-05-2020"/>
        </groupItems>
      </fieldGroup>
    </cacheField>
    <cacheField name="Years (Date of First Case)" numFmtId="0" databaseField="0">
      <fieldGroup base="7">
        <rangePr groupBy="years" startDate="2019-11-17T00:00:00" endDate="2020-05-14T00:00:00"/>
        <groupItems count="4">
          <s v="&lt;17-11-2019"/>
          <s v="2019"/>
          <s v="2020"/>
          <s v="&gt;14-05-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x v="0"/>
    <x v="0"/>
    <x v="0"/>
    <x v="0"/>
    <x v="0"/>
    <x v="0"/>
    <x v="0"/>
    <x v="0"/>
    <n v="3.4994346854920991E-2"/>
    <n v="0.69486804732096075"/>
    <n v="9.2959533622714516E-4"/>
    <s v="Mod risk"/>
    <n v="2"/>
  </r>
  <r>
    <x v="1"/>
    <x v="1"/>
    <x v="1"/>
    <x v="1"/>
    <x v="1"/>
    <x v="1"/>
    <x v="1"/>
    <x v="1"/>
    <n v="2.9508196721311476E-2"/>
    <n v="0.5625"/>
    <n v="1.6959342755962703E-3"/>
    <s v="Mod risk"/>
    <n v="2"/>
  </r>
  <r>
    <x v="2"/>
    <x v="2"/>
    <x v="2"/>
    <x v="2"/>
    <x v="2"/>
    <x v="2"/>
    <x v="2"/>
    <x v="2"/>
    <n v="4.1575805240767885E-2"/>
    <n v="0.67339934937260926"/>
    <n v="6.3681987185790017E-4"/>
    <s v="Mod risk"/>
    <n v="2"/>
  </r>
  <r>
    <x v="3"/>
    <x v="3"/>
    <x v="3"/>
    <x v="3"/>
    <x v="3"/>
    <x v="3"/>
    <x v="1"/>
    <x v="3"/>
    <n v="5.7331863285556783E-2"/>
    <n v="0.88533627342888643"/>
    <n v="1.1736846191671627E-2"/>
    <s v="High risk"/>
    <n v="3"/>
  </r>
  <r>
    <x v="4"/>
    <x v="4"/>
    <x v="4"/>
    <x v="4"/>
    <x v="4"/>
    <x v="4"/>
    <x v="2"/>
    <x v="4"/>
    <n v="4.3157894736842103E-2"/>
    <n v="0.25473684210526315"/>
    <n v="2.8826051468156317E-5"/>
    <s v="Mod risk"/>
    <n v="2"/>
  </r>
  <r>
    <x v="5"/>
    <x v="5"/>
    <x v="5"/>
    <x v="5"/>
    <x v="5"/>
    <x v="5"/>
    <x v="3"/>
    <x v="5"/>
    <n v="3.4883720930232558E-2"/>
    <n v="0.7558139534883721"/>
    <n v="8.7746148352208962E-4"/>
    <s v="Mod risk"/>
    <n v="2"/>
  </r>
  <r>
    <x v="6"/>
    <x v="6"/>
    <x v="6"/>
    <x v="6"/>
    <x v="6"/>
    <x v="6"/>
    <x v="4"/>
    <x v="6"/>
    <n v="1.8271849763463469E-2"/>
    <n v="0.43350097959573758"/>
    <n v="3.7008738267649026E-3"/>
    <s v="Low risk"/>
    <n v="1"/>
  </r>
  <r>
    <x v="7"/>
    <x v="7"/>
    <x v="7"/>
    <x v="7"/>
    <x v="7"/>
    <x v="7"/>
    <x v="0"/>
    <x v="7"/>
    <n v="1.901577962021931E-2"/>
    <n v="0.71315859855576358"/>
    <n v="1.2615514282118529E-2"/>
    <s v="Low risk"/>
    <n v="1"/>
  </r>
  <r>
    <x v="8"/>
    <x v="8"/>
    <x v="8"/>
    <x v="8"/>
    <x v="8"/>
    <x v="8"/>
    <x v="5"/>
    <x v="8"/>
    <n v="1.0912892896817617E-2"/>
    <n v="0.60844278899562176"/>
    <n v="5.9943912897965216E-4"/>
    <s v="Low risk"/>
    <n v="1"/>
  </r>
  <r>
    <x v="9"/>
    <x v="9"/>
    <x v="9"/>
    <x v="9"/>
    <x v="9"/>
    <x v="9"/>
    <x v="1"/>
    <x v="2"/>
    <n v="3.4682362097480303E-2"/>
    <n v="0.88753769821967121"/>
    <n v="2.2812877257776302E-3"/>
    <s v="Mod risk"/>
    <n v="2"/>
  </r>
  <r>
    <x v="10"/>
    <x v="10"/>
    <x v="10"/>
    <x v="10"/>
    <x v="10"/>
    <x v="10"/>
    <x v="0"/>
    <x v="9"/>
    <n v="1.389345069959929E-2"/>
    <n v="0.76338435262431847"/>
    <n v="3.0001252433549336E-3"/>
    <s v="Low risk"/>
    <n v="1"/>
  </r>
  <r>
    <x v="11"/>
    <x v="11"/>
    <x v="11"/>
    <x v="11"/>
    <x v="11"/>
    <x v="11"/>
    <x v="3"/>
    <x v="10"/>
    <n v="2.8795811518324606E-2"/>
    <n v="0.23821989528795812"/>
    <n v="9.7048900451201169E-4"/>
    <s v="Mod risk"/>
    <n v="2"/>
  </r>
  <r>
    <x v="12"/>
    <x v="12"/>
    <x v="12"/>
    <x v="12"/>
    <x v="12"/>
    <x v="12"/>
    <x v="0"/>
    <x v="11"/>
    <n v="3.5712476571602247E-3"/>
    <n v="0.91459399219897675"/>
    <n v="2.3133952746548978E-2"/>
    <s v="Low risk"/>
    <n v="1"/>
  </r>
  <r>
    <x v="13"/>
    <x v="13"/>
    <x v="13"/>
    <x v="13"/>
    <x v="13"/>
    <x v="13"/>
    <x v="0"/>
    <x v="12"/>
    <n v="1.3106420598961211E-2"/>
    <n v="0.55556636092385903"/>
    <n v="1.3722964962851604E-3"/>
    <s v="Low risk"/>
    <n v="1"/>
  </r>
  <r>
    <x v="14"/>
    <x v="14"/>
    <x v="14"/>
    <x v="14"/>
    <x v="14"/>
    <x v="14"/>
    <x v="3"/>
    <x v="13"/>
    <n v="6.363636363636363E-2"/>
    <n v="0.8545454545454545"/>
    <n v="3.8272717467320317E-4"/>
    <s v="High risk"/>
    <n v="3"/>
  </r>
  <r>
    <x v="15"/>
    <x v="15"/>
    <x v="15"/>
    <x v="15"/>
    <x v="15"/>
    <x v="15"/>
    <x v="1"/>
    <x v="9"/>
    <n v="7.9998810426610764E-3"/>
    <n v="0.89949591827630815"/>
    <n v="7.1172603326002401E-3"/>
    <s v="Low risk"/>
    <n v="1"/>
  </r>
  <r>
    <x v="16"/>
    <x v="16"/>
    <x v="16"/>
    <x v="16"/>
    <x v="16"/>
    <x v="16"/>
    <x v="1"/>
    <x v="14"/>
    <n v="0.14785933642439936"/>
    <n v="0.26272053953152286"/>
    <n v="5.7291500912612179E-3"/>
    <s v="High risk"/>
    <n v="3"/>
  </r>
  <r>
    <x v="17"/>
    <x v="17"/>
    <x v="17"/>
    <x v="17"/>
    <x v="17"/>
    <x v="17"/>
    <x v="3"/>
    <x v="15"/>
    <n v="4.1666666666666664E-2"/>
    <n v="0.54166666666666663"/>
    <n v="1.2050854606439174E-4"/>
    <s v="Mod risk"/>
    <n v="2"/>
  </r>
  <r>
    <x v="18"/>
    <x v="18"/>
    <x v="18"/>
    <x v="18"/>
    <x v="18"/>
    <x v="18"/>
    <x v="2"/>
    <x v="16"/>
    <n v="1.977401129943503E-2"/>
    <n v="0.58531073446327686"/>
    <n v="1.4565532387489903E-4"/>
    <s v="Low risk"/>
    <n v="1"/>
  </r>
  <r>
    <x v="19"/>
    <x v="19"/>
    <x v="19"/>
    <x v="19"/>
    <x v="19"/>
    <x v="19"/>
    <x v="0"/>
    <x v="17"/>
    <n v="0"/>
    <n v="0.86868686868686873"/>
    <n v="1.2816479662577045E-4"/>
    <s v="Low risk"/>
    <n v="1"/>
  </r>
  <r>
    <x v="20"/>
    <x v="20"/>
    <x v="20"/>
    <x v="20"/>
    <x v="20"/>
    <x v="20"/>
    <x v="4"/>
    <x v="18"/>
    <n v="3.7186889759907839E-2"/>
    <n v="0.30173782329554233"/>
    <n v="6.0898532475495704E-3"/>
    <s v="Mod risk"/>
    <n v="2"/>
  </r>
  <r>
    <x v="21"/>
    <x v="21"/>
    <x v="21"/>
    <x v="21"/>
    <x v="21"/>
    <x v="21"/>
    <x v="1"/>
    <x v="19"/>
    <n v="2.8005334349399887E-2"/>
    <n v="0.46961325966850831"/>
    <n v="3.2019276226495663E-3"/>
    <s v="Mod risk"/>
    <n v="2"/>
  </r>
  <r>
    <x v="22"/>
    <x v="22"/>
    <x v="17"/>
    <x v="22"/>
    <x v="22"/>
    <x v="22"/>
    <x v="2"/>
    <x v="20"/>
    <n v="2.7063599458728013E-3"/>
    <n v="8.5250338294993233E-2"/>
    <n v="3.1365724775314879E-4"/>
    <s v="Low risk"/>
    <n v="1"/>
  </r>
  <r>
    <x v="23"/>
    <x v="23"/>
    <x v="22"/>
    <x v="23"/>
    <x v="23"/>
    <x v="23"/>
    <x v="4"/>
    <x v="21"/>
    <n v="3.5874097957930291E-2"/>
    <n v="0.75608413941348074"/>
    <n v="1.1482144959596107E-2"/>
    <s v="Mod risk"/>
    <n v="2"/>
  </r>
  <r>
    <x v="24"/>
    <x v="24"/>
    <x v="5"/>
    <x v="24"/>
    <x v="24"/>
    <x v="24"/>
    <x v="0"/>
    <x v="1"/>
    <n v="2.1276595744680851E-2"/>
    <n v="0.97872340425531912"/>
    <n v="3.2199646945715047E-4"/>
    <s v="Mod risk"/>
    <n v="2"/>
  </r>
  <r>
    <x v="25"/>
    <x v="25"/>
    <x v="23"/>
    <x v="25"/>
    <x v="25"/>
    <x v="25"/>
    <x v="1"/>
    <x v="12"/>
    <n v="3.2671123246398641E-2"/>
    <n v="0.52584502400903865"/>
    <n v="1.5297743550418891E-3"/>
    <s v="Mod risk"/>
    <n v="2"/>
  </r>
  <r>
    <x v="26"/>
    <x v="26"/>
    <x v="24"/>
    <x v="26"/>
    <x v="26"/>
    <x v="26"/>
    <x v="2"/>
    <x v="1"/>
    <n v="4.818181818181818E-2"/>
    <n v="0.8418181818181818"/>
    <n v="5.2493809071044739E-5"/>
    <s v="Mod risk"/>
    <n v="2"/>
  </r>
  <r>
    <x v="27"/>
    <x v="27"/>
    <x v="25"/>
    <x v="27"/>
    <x v="3"/>
    <x v="27"/>
    <x v="0"/>
    <x v="15"/>
    <n v="1.7142857142857144E-2"/>
    <n v="0.8342857142857143"/>
    <n v="6.4283418318155129E-6"/>
    <s v="Low risk"/>
    <n v="1"/>
  </r>
  <r>
    <x v="28"/>
    <x v="28"/>
    <x v="26"/>
    <x v="28"/>
    <x v="27"/>
    <x v="28"/>
    <x v="2"/>
    <x v="22"/>
    <n v="2.6455026455026454E-3"/>
    <n v="0.79629629629629628"/>
    <n v="3.1705515149197092E-5"/>
    <s v="Low risk"/>
    <n v="1"/>
  </r>
  <r>
    <x v="29"/>
    <x v="29"/>
    <x v="27"/>
    <x v="29"/>
    <x v="28"/>
    <x v="29"/>
    <x v="2"/>
    <x v="23"/>
    <n v="9.4501718213058413E-3"/>
    <n v="0.66580756013745701"/>
    <n v="4.1826796099759065E-3"/>
    <s v="Low risk"/>
    <n v="1"/>
  </r>
  <r>
    <x v="30"/>
    <x v="30"/>
    <x v="19"/>
    <x v="30"/>
    <x v="29"/>
    <x v="30"/>
    <x v="0"/>
    <x v="24"/>
    <n v="0"/>
    <n v="0.65044247787610621"/>
    <n v="1.349948854260776E-5"/>
    <s v="Low risk"/>
    <n v="1"/>
  </r>
  <r>
    <x v="31"/>
    <x v="31"/>
    <x v="28"/>
    <x v="31"/>
    <x v="30"/>
    <x v="31"/>
    <x v="2"/>
    <x v="17"/>
    <n v="2.2852133255406196E-2"/>
    <n v="0.84973699590882523"/>
    <n v="6.4308348118114476E-4"/>
    <s v="Mod risk"/>
    <n v="2"/>
  </r>
  <r>
    <x v="32"/>
    <x v="32"/>
    <x v="29"/>
    <x v="32"/>
    <x v="31"/>
    <x v="32"/>
    <x v="3"/>
    <x v="8"/>
    <n v="7.6800219821738305E-2"/>
    <n v="0"/>
    <n v="3.0829366558674672E-3"/>
    <s v="High risk"/>
    <n v="3"/>
  </r>
  <r>
    <x v="33"/>
    <x v="33"/>
    <x v="30"/>
    <x v="33"/>
    <x v="32"/>
    <x v="33"/>
    <x v="2"/>
    <x v="25"/>
    <n v="1.2828875842574472E-2"/>
    <n v="0.33616003479017176"/>
    <n v="9.5064815228229974E-4"/>
    <s v="Low risk"/>
    <n v="1"/>
  </r>
  <r>
    <x v="34"/>
    <x v="34"/>
    <x v="31"/>
    <x v="34"/>
    <x v="33"/>
    <x v="34"/>
    <x v="2"/>
    <x v="26"/>
    <n v="8.1344902386117135E-2"/>
    <n v="0.87852494577006512"/>
    <e v="#VALUE!"/>
    <s v="High risk"/>
    <n v="3"/>
  </r>
  <r>
    <x v="35"/>
    <x v="35"/>
    <x v="32"/>
    <x v="35"/>
    <x v="34"/>
    <x v="35"/>
    <x v="4"/>
    <x v="6"/>
    <n v="2.6405267832250241E-2"/>
    <n v="0.91961152323933748"/>
    <n v="1.8184907639424697E-2"/>
    <s v="Mod risk"/>
    <n v="2"/>
  </r>
  <r>
    <x v="36"/>
    <x v="36"/>
    <x v="33"/>
    <x v="36"/>
    <x v="35"/>
    <x v="36"/>
    <x v="2"/>
    <x v="27"/>
    <n v="5.365106069161011E-2"/>
    <n v="0.90880702441722461"/>
    <n v="6.1470681293536756E-5"/>
    <s v="High risk"/>
    <n v="3"/>
  </r>
  <r>
    <x v="37"/>
    <x v="37"/>
    <x v="34"/>
    <x v="37"/>
    <x v="36"/>
    <x v="37"/>
    <x v="4"/>
    <x v="17"/>
    <n v="3.4138334740043796E-2"/>
    <n v="0.51015359722443709"/>
    <n v="5.0475042711222119E-3"/>
    <s v="Mod risk"/>
    <n v="2"/>
  </r>
  <r>
    <x v="38"/>
    <x v="38"/>
    <x v="14"/>
    <x v="38"/>
    <x v="37"/>
    <x v="38"/>
    <x v="2"/>
    <x v="28"/>
    <n v="1.977401129943503E-2"/>
    <n v="0.92655367231638419"/>
    <n v="4.0627732903643414E-4"/>
    <s v="Low risk"/>
    <n v="1"/>
  </r>
  <r>
    <x v="39"/>
    <x v="39"/>
    <x v="35"/>
    <x v="39"/>
    <x v="38"/>
    <x v="39"/>
    <x v="2"/>
    <x v="25"/>
    <n v="1.6875000000000001E-2"/>
    <n v="0.25906249999999997"/>
    <n v="5.7860890124701071E-4"/>
    <s v="Low risk"/>
    <n v="1"/>
  </r>
  <r>
    <x v="40"/>
    <x v="40"/>
    <x v="36"/>
    <x v="40"/>
    <x v="39"/>
    <x v="40"/>
    <x v="2"/>
    <x v="18"/>
    <n v="2.3518769787426504E-2"/>
    <n v="0.64450474898236088"/>
    <n v="9.2051576402501362E-5"/>
    <s v="Mod risk"/>
    <n v="2"/>
  </r>
  <r>
    <x v="41"/>
    <x v="41"/>
    <x v="37"/>
    <x v="41"/>
    <x v="40"/>
    <x v="41"/>
    <x v="3"/>
    <x v="17"/>
    <n v="7.2596426993245377E-3"/>
    <n v="0.24139890158449592"/>
    <n v="3.1068520984637352E-3"/>
    <s v="Low risk"/>
    <n v="1"/>
  </r>
  <r>
    <x v="42"/>
    <x v="42"/>
    <x v="38"/>
    <x v="42"/>
    <x v="41"/>
    <x v="42"/>
    <x v="2"/>
    <x v="29"/>
    <n v="6.1322261258383902E-3"/>
    <n v="0.66183328010220377"/>
    <n v="5.9815833715421058E-4"/>
    <s v="Low risk"/>
    <n v="1"/>
  </r>
  <r>
    <x v="43"/>
    <x v="43"/>
    <x v="39"/>
    <x v="43"/>
    <x v="42"/>
    <x v="43"/>
    <x v="1"/>
    <x v="2"/>
    <n v="2.8477770948576113E-2"/>
    <n v="0.80639213275968036"/>
    <n v="1.1897400097548444E-3"/>
    <s v="Mod risk"/>
    <n v="2"/>
  </r>
  <r>
    <x v="44"/>
    <x v="44"/>
    <x v="40"/>
    <x v="44"/>
    <x v="43"/>
    <x v="44"/>
    <x v="3"/>
    <x v="29"/>
    <n v="3.4360189573459717E-2"/>
    <n v="0.92851500789889418"/>
    <n v="2.2355841244920161E-4"/>
    <s v="Mod risk"/>
    <n v="2"/>
  </r>
  <r>
    <x v="45"/>
    <x v="45"/>
    <x v="41"/>
    <x v="45"/>
    <x v="44"/>
    <x v="45"/>
    <x v="0"/>
    <x v="1"/>
    <n v="1.7924528301886792E-2"/>
    <n v="0.80377358490566042"/>
    <n v="8.7731059609116749E-4"/>
    <s v="Low risk"/>
    <n v="1"/>
  </r>
  <r>
    <x v="46"/>
    <x v="46"/>
    <x v="42"/>
    <x v="46"/>
    <x v="45"/>
    <x v="46"/>
    <x v="1"/>
    <x v="7"/>
    <n v="2.4039700953854087E-2"/>
    <n v="0.7365300335137922"/>
    <n v="1.4486016689915311E-3"/>
    <s v="Mod risk"/>
    <n v="2"/>
  </r>
  <r>
    <x v="47"/>
    <x v="47"/>
    <x v="43"/>
    <x v="47"/>
    <x v="46"/>
    <x v="47"/>
    <x v="1"/>
    <x v="30"/>
    <n v="4.454618123682872E-2"/>
    <n v="0.91599447714555626"/>
    <n v="2.3749287875160997E-3"/>
    <s v="Mod risk"/>
    <n v="2"/>
  </r>
  <r>
    <x v="48"/>
    <x v="48"/>
    <x v="44"/>
    <x v="48"/>
    <x v="47"/>
    <x v="48"/>
    <x v="2"/>
    <x v="31"/>
    <n v="1.1464716347104172E-2"/>
    <n v="0.98379126309547338"/>
    <n v="5.1132671037723357E-3"/>
    <s v="Low risk"/>
    <n v="1"/>
  </r>
  <r>
    <x v="49"/>
    <x v="49"/>
    <x v="19"/>
    <x v="49"/>
    <x v="24"/>
    <x v="49"/>
    <x v="3"/>
    <x v="32"/>
    <n v="0"/>
    <n v="1"/>
    <n v="2.4998611188267316E-4"/>
    <s v="Low risk"/>
    <n v="1"/>
  </r>
  <r>
    <x v="50"/>
    <x v="50"/>
    <x v="45"/>
    <x v="50"/>
    <x v="48"/>
    <x v="50"/>
    <x v="3"/>
    <x v="7"/>
    <n v="1.688072822495168E-2"/>
    <n v="0.47078994949809838"/>
    <n v="5.9082861881147638E-3"/>
    <s v="Low risk"/>
    <n v="1"/>
  </r>
  <r>
    <x v="51"/>
    <x v="51"/>
    <x v="46"/>
    <x v="51"/>
    <x v="49"/>
    <x v="51"/>
    <x v="4"/>
    <x v="33"/>
    <n v="6.8160816155542689E-2"/>
    <n v="0.42996020256034301"/>
    <n v="4.5934579460410038E-3"/>
    <s v="High risk"/>
    <n v="3"/>
  </r>
  <r>
    <x v="52"/>
    <x v="52"/>
    <x v="47"/>
    <x v="52"/>
    <x v="50"/>
    <x v="52"/>
    <x v="2"/>
    <x v="34"/>
    <n v="5.0301680326982547E-2"/>
    <n v="0.37670033087519733"/>
    <n v="9.0211797561417541E-4"/>
    <s v="High risk"/>
    <n v="3"/>
  </r>
  <r>
    <x v="53"/>
    <x v="53"/>
    <x v="48"/>
    <x v="53"/>
    <x v="51"/>
    <x v="53"/>
    <x v="3"/>
    <x v="26"/>
    <n v="2.7136681077485868E-2"/>
    <n v="0.51732623877618888"/>
    <n v="2.3168144794818227E-3"/>
    <s v="Mod risk"/>
    <n v="2"/>
  </r>
  <r>
    <x v="54"/>
    <x v="54"/>
    <x v="49"/>
    <x v="54"/>
    <x v="52"/>
    <x v="54"/>
    <x v="2"/>
    <x v="25"/>
    <n v="1.6606968414197329E-2"/>
    <n v="0.27417779225008143"/>
    <n v="2.1826565865980196E-3"/>
    <s v="Low risk"/>
    <n v="1"/>
  </r>
  <r>
    <x v="55"/>
    <x v="55"/>
    <x v="19"/>
    <x v="55"/>
    <x v="53"/>
    <x v="55"/>
    <x v="2"/>
    <x v="4"/>
    <n v="0"/>
    <n v="0.72075471698113203"/>
    <n v="7.4623188099713479E-5"/>
    <s v="Low risk"/>
    <n v="1"/>
  </r>
  <r>
    <x v="56"/>
    <x v="56"/>
    <x v="50"/>
    <x v="56"/>
    <x v="54"/>
    <x v="56"/>
    <x v="1"/>
    <x v="30"/>
    <n v="3.3923303834808259E-2"/>
    <n v="0.94542772861356927"/>
    <n v="1.5332116714042456E-3"/>
    <s v="Mod risk"/>
    <n v="2"/>
  </r>
  <r>
    <x v="57"/>
    <x v="57"/>
    <x v="51"/>
    <x v="57"/>
    <x v="55"/>
    <x v="57"/>
    <x v="2"/>
    <x v="25"/>
    <n v="1.468048359240069E-2"/>
    <n v="0.442573402417962"/>
    <n v="1.9942342863637774E-3"/>
    <s v="Low risk"/>
    <n v="1"/>
  </r>
  <r>
    <x v="58"/>
    <x v="58"/>
    <x v="52"/>
    <x v="58"/>
    <x v="56"/>
    <x v="58"/>
    <x v="2"/>
    <x v="5"/>
    <n v="1.5673334708187256E-2"/>
    <n v="0.43899085722142023"/>
    <n v="1.2625002890029533E-4"/>
    <s v="Low risk"/>
    <n v="1"/>
  </r>
  <r>
    <x v="59"/>
    <x v="59"/>
    <x v="19"/>
    <x v="49"/>
    <x v="14"/>
    <x v="59"/>
    <x v="5"/>
    <x v="26"/>
    <n v="0"/>
    <n v="0.66666666666666663"/>
    <n v="3.0097146901944609E-5"/>
    <s v="Low risk"/>
    <n v="1"/>
  </r>
  <r>
    <x v="60"/>
    <x v="60"/>
    <x v="53"/>
    <x v="59"/>
    <x v="57"/>
    <x v="60"/>
    <x v="1"/>
    <x v="21"/>
    <n v="4.4471478778048121E-2"/>
    <n v="0.93538794268721281"/>
    <n v="1.334992540066017E-3"/>
    <s v="Mod risk"/>
    <n v="2"/>
  </r>
  <r>
    <x v="61"/>
    <x v="61"/>
    <x v="54"/>
    <x v="60"/>
    <x v="58"/>
    <x v="61"/>
    <x v="1"/>
    <x v="35"/>
    <n v="0.13710790008713331"/>
    <n v="0.36855576532094103"/>
    <n v="3.3750607650932158E-3"/>
    <s v="High risk"/>
    <n v="3"/>
  </r>
  <r>
    <x v="62"/>
    <x v="62"/>
    <x v="55"/>
    <x v="61"/>
    <x v="59"/>
    <x v="62"/>
    <x v="2"/>
    <x v="36"/>
    <n v="6.815968841285297E-3"/>
    <n v="0.65127277785505633"/>
    <n v="3.2229531288737417E-3"/>
    <s v="Low risk"/>
    <n v="1"/>
  </r>
  <r>
    <x v="63"/>
    <x v="63"/>
    <x v="56"/>
    <x v="62"/>
    <x v="60"/>
    <x v="63"/>
    <x v="2"/>
    <x v="13"/>
    <n v="2.4539877300613498E-2"/>
    <n v="0.20245398773006135"/>
    <n v="1.345576150116768E-4"/>
    <s v="Mod risk"/>
    <n v="2"/>
  </r>
  <r>
    <x v="64"/>
    <x v="64"/>
    <x v="57"/>
    <x v="63"/>
    <x v="61"/>
    <x v="64"/>
    <x v="0"/>
    <x v="21"/>
    <n v="1.4072119613016711E-2"/>
    <n v="0.81090589270008795"/>
    <n v="2.8507900976038319E-4"/>
    <s v="Low risk"/>
    <n v="1"/>
  </r>
  <r>
    <x v="65"/>
    <x v="65"/>
    <x v="58"/>
    <x v="64"/>
    <x v="62"/>
    <x v="65"/>
    <x v="1"/>
    <x v="24"/>
    <n v="4.4058287303487965E-2"/>
    <n v="0.91889412491791878"/>
    <n v="2.4711715347078664E-3"/>
    <s v="Mod risk"/>
    <n v="2"/>
  </r>
  <r>
    <x v="66"/>
    <x v="66"/>
    <x v="59"/>
    <x v="65"/>
    <x v="63"/>
    <x v="66"/>
    <x v="2"/>
    <x v="36"/>
    <n v="4.9964311206281229E-3"/>
    <n v="0.88630145134427785"/>
    <n v="1.0799948081620036E-3"/>
    <s v="Low risk"/>
    <n v="1"/>
  </r>
  <r>
    <x v="67"/>
    <x v="67"/>
    <x v="60"/>
    <x v="66"/>
    <x v="64"/>
    <x v="67"/>
    <x v="1"/>
    <x v="21"/>
    <n v="4.7788029335225926E-2"/>
    <n v="0.32505322924059615"/>
    <n v="4.0575280103339776E-4"/>
    <s v="Mod risk"/>
    <n v="2"/>
  </r>
  <r>
    <x v="68"/>
    <x v="68"/>
    <x v="19"/>
    <x v="67"/>
    <x v="65"/>
    <x v="68"/>
    <x v="3"/>
    <x v="12"/>
    <n v="0"/>
    <n v="0.9285714285714286"/>
    <n v="2.4656569214512151E-4"/>
    <s v="Low risk"/>
    <n v="1"/>
  </r>
  <r>
    <x v="69"/>
    <x v="69"/>
    <x v="19"/>
    <x v="68"/>
    <x v="24"/>
    <x v="69"/>
    <x v="3"/>
    <x v="32"/>
    <n v="0"/>
    <n v="1"/>
    <n v="2.0430642410460489E-4"/>
    <s v="Low risk"/>
    <n v="1"/>
  </r>
  <r>
    <x v="70"/>
    <x v="70"/>
    <x v="61"/>
    <x v="69"/>
    <x v="66"/>
    <x v="70"/>
    <x v="3"/>
    <x v="5"/>
    <n v="3.8866450374097861E-2"/>
    <n v="0.71630360414045779"/>
    <n v="2.5246144194604318E-3"/>
    <s v="Mod risk"/>
    <n v="2"/>
  </r>
  <r>
    <x v="71"/>
    <x v="71"/>
    <x v="62"/>
    <x v="70"/>
    <x v="67"/>
    <x v="71"/>
    <x v="2"/>
    <x v="5"/>
    <n v="6.3784549964564135E-3"/>
    <n v="0.88688873139617297"/>
    <n v="5.3589448613567661E-4"/>
    <s v="Low risk"/>
    <n v="1"/>
  </r>
  <r>
    <x v="72"/>
    <x v="72"/>
    <x v="63"/>
    <x v="3"/>
    <x v="68"/>
    <x v="72"/>
    <x v="2"/>
    <x v="37"/>
    <n v="1.3306038894575231E-2"/>
    <n v="0.41095189355168882"/>
    <n v="9.907330461187754E-4"/>
    <s v="Low risk"/>
    <n v="1"/>
  </r>
  <r>
    <x v="73"/>
    <x v="73"/>
    <x v="64"/>
    <x v="71"/>
    <x v="69"/>
    <x v="73"/>
    <x v="4"/>
    <x v="36"/>
    <n v="5.1413881748071981E-2"/>
    <n v="0.4652956298200514"/>
    <n v="4.943222828794209E-4"/>
    <s v="High risk"/>
    <n v="3"/>
  </r>
  <r>
    <x v="74"/>
    <x v="74"/>
    <x v="65"/>
    <x v="72"/>
    <x v="70"/>
    <x v="74"/>
    <x v="3"/>
    <x v="26"/>
    <n v="2.1525885558583105E-2"/>
    <n v="0.59468664850136244"/>
    <n v="6.4295145199723587E-4"/>
    <s v="Mod risk"/>
    <n v="2"/>
  </r>
  <r>
    <x v="75"/>
    <x v="75"/>
    <x v="19"/>
    <x v="73"/>
    <x v="24"/>
    <x v="75"/>
    <x v="1"/>
    <x v="32"/>
    <n v="0"/>
    <n v="1"/>
    <n v="2.2727272727272728E-2"/>
    <s v="Low risk"/>
    <n v="1"/>
  </r>
  <r>
    <x v="76"/>
    <x v="76"/>
    <x v="66"/>
    <x v="74"/>
    <x v="71"/>
    <x v="76"/>
    <x v="3"/>
    <x v="13"/>
    <n v="2.9339976346845827E-2"/>
    <n v="0.12679600412672051"/>
    <n v="3.9693034936582631E-3"/>
    <s v="Mod risk"/>
    <n v="2"/>
  </r>
  <r>
    <x v="77"/>
    <x v="77"/>
    <x v="67"/>
    <x v="75"/>
    <x v="72"/>
    <x v="77"/>
    <x v="1"/>
    <x v="38"/>
    <n v="0.13399280575539568"/>
    <n v="0.74842625899280579"/>
    <n v="4.6056109138896753E-4"/>
    <s v="High risk"/>
    <n v="3"/>
  </r>
  <r>
    <x v="78"/>
    <x v="78"/>
    <x v="68"/>
    <x v="76"/>
    <x v="73"/>
    <x v="78"/>
    <x v="1"/>
    <x v="9"/>
    <n v="5.3937432578209281E-3"/>
    <n v="0.98327939590075508"/>
    <n v="5.4295462199639788E-3"/>
    <s v="Low risk"/>
    <n v="1"/>
  </r>
  <r>
    <x v="79"/>
    <x v="79"/>
    <x v="69"/>
    <x v="77"/>
    <x v="74"/>
    <x v="79"/>
    <x v="0"/>
    <x v="39"/>
    <n v="2.2571859631247918E-2"/>
    <n v="0.64264803154979522"/>
    <n v="1.0714723716482247E-3"/>
    <s v="Mod risk"/>
    <n v="2"/>
  </r>
  <r>
    <x v="80"/>
    <x v="80"/>
    <x v="70"/>
    <x v="78"/>
    <x v="75"/>
    <x v="80"/>
    <x v="0"/>
    <x v="3"/>
    <n v="4.8233851430166598E-2"/>
    <n v="0.57997268277120329"/>
    <n v="3.6632555035343787E-4"/>
    <s v="Mod risk"/>
    <n v="2"/>
  </r>
  <r>
    <x v="81"/>
    <x v="81"/>
    <x v="71"/>
    <x v="79"/>
    <x v="76"/>
    <x v="81"/>
    <x v="0"/>
    <x v="40"/>
    <n v="5.4195077757266542E-2"/>
    <n v="0.86900131468702957"/>
    <n v="3.4912520654715772E-3"/>
    <s v="High risk"/>
    <n v="3"/>
  </r>
  <r>
    <x v="82"/>
    <x v="82"/>
    <x v="72"/>
    <x v="80"/>
    <x v="77"/>
    <x v="82"/>
    <x v="0"/>
    <x v="41"/>
    <n v="3.9596749122884932E-2"/>
    <n v="0.68520673269085575"/>
    <n v="2.7932548545781927E-3"/>
    <s v="Mod risk"/>
    <n v="2"/>
  </r>
  <r>
    <x v="83"/>
    <x v="83"/>
    <x v="73"/>
    <x v="81"/>
    <x v="78"/>
    <x v="83"/>
    <x v="1"/>
    <x v="33"/>
    <n v="6.8129151861578863E-2"/>
    <n v="0.90236366445234051"/>
    <n v="5.2379025732319142E-3"/>
    <s v="High risk"/>
    <n v="3"/>
  </r>
  <r>
    <x v="84"/>
    <x v="84"/>
    <x v="74"/>
    <x v="82"/>
    <x v="79"/>
    <x v="84"/>
    <x v="0"/>
    <x v="11"/>
    <n v="7.407986246776588E-3"/>
    <n v="0.42405251230757207"/>
    <n v="6.9567136608611607E-3"/>
    <s v="Low risk"/>
    <n v="1"/>
  </r>
  <r>
    <x v="85"/>
    <x v="85"/>
    <x v="75"/>
    <x v="83"/>
    <x v="80"/>
    <x v="85"/>
    <x v="1"/>
    <x v="42"/>
    <n v="0.14256595990027854"/>
    <n v="0.80635115272488078"/>
    <n v="4.0740370202304726E-3"/>
    <s v="High risk"/>
    <n v="3"/>
  </r>
  <r>
    <x v="86"/>
    <x v="86"/>
    <x v="68"/>
    <x v="84"/>
    <x v="81"/>
    <x v="86"/>
    <x v="3"/>
    <x v="18"/>
    <n v="1.1723329425556858E-2"/>
    <n v="0.83704572098475971"/>
    <n v="2.8793462770018881E-4"/>
    <s v="Low risk"/>
    <n v="1"/>
  </r>
  <r>
    <x v="87"/>
    <x v="87"/>
    <x v="76"/>
    <x v="85"/>
    <x v="82"/>
    <x v="87"/>
    <x v="0"/>
    <x v="43"/>
    <n v="3.2046753580373774E-2"/>
    <n v="0.70547813242566304"/>
    <n v="2.4630670639094564E-4"/>
    <s v="Mod risk"/>
    <n v="2"/>
  </r>
  <r>
    <x v="88"/>
    <x v="88"/>
    <x v="11"/>
    <x v="86"/>
    <x v="83"/>
    <x v="88"/>
    <x v="0"/>
    <x v="3"/>
    <n v="9.3537414965986394E-3"/>
    <n v="0.88520408163265307"/>
    <n v="1.1514580533426651E-4"/>
    <s v="Low risk"/>
    <n v="1"/>
  </r>
  <r>
    <x v="89"/>
    <x v="89"/>
    <x v="77"/>
    <x v="87"/>
    <x v="84"/>
    <x v="89"/>
    <x v="0"/>
    <x v="5"/>
    <n v="6.9109724978735467E-3"/>
    <n v="0.64270862867403833"/>
    <n v="4.5028724643082409E-3"/>
    <s v="Low risk"/>
    <n v="1"/>
  </r>
  <r>
    <x v="90"/>
    <x v="90"/>
    <x v="78"/>
    <x v="88"/>
    <x v="85"/>
    <x v="90"/>
    <x v="2"/>
    <x v="5"/>
    <n v="1.5855354659248956E-2"/>
    <n v="0.4357719054242003"/>
    <n v="3.3360454748932648E-4"/>
    <s v="Low risk"/>
    <n v="1"/>
  </r>
  <r>
    <x v="91"/>
    <x v="91"/>
    <x v="79"/>
    <x v="89"/>
    <x v="86"/>
    <x v="91"/>
    <x v="1"/>
    <x v="5"/>
    <n v="2.4956158100634021E-2"/>
    <n v="0.54323485768244972"/>
    <n v="4.1409891450558392E-3"/>
    <s v="Mod risk"/>
    <n v="2"/>
  </r>
  <r>
    <x v="92"/>
    <x v="92"/>
    <x v="80"/>
    <x v="90"/>
    <x v="87"/>
    <x v="92"/>
    <x v="0"/>
    <x v="0"/>
    <n v="6.8034607558365304E-3"/>
    <n v="0.85520123021482164"/>
    <n v="1.5053576881761413E-2"/>
    <s v="Low risk"/>
    <n v="1"/>
  </r>
  <r>
    <x v="93"/>
    <x v="93"/>
    <x v="81"/>
    <x v="91"/>
    <x v="88"/>
    <x v="93"/>
    <x v="0"/>
    <x v="31"/>
    <n v="3.9073762614127823E-2"/>
    <n v="0.63686328688130711"/>
    <n v="5.0954330100379842E-3"/>
    <s v="Mod risk"/>
    <n v="2"/>
  </r>
  <r>
    <x v="94"/>
    <x v="94"/>
    <x v="19"/>
    <x v="92"/>
    <x v="65"/>
    <x v="94"/>
    <x v="0"/>
    <x v="44"/>
    <n v="0"/>
    <n v="0.95"/>
    <n v="2.7450845829187114E-6"/>
    <s v="Low risk"/>
    <n v="1"/>
  </r>
  <r>
    <x v="95"/>
    <x v="95"/>
    <x v="82"/>
    <x v="93"/>
    <x v="89"/>
    <x v="95"/>
    <x v="1"/>
    <x v="3"/>
    <n v="2.5430680885972109E-2"/>
    <n v="0.85726004922067267"/>
    <n v="6.4704958130212494E-4"/>
    <s v="Mod risk"/>
    <n v="2"/>
  </r>
  <r>
    <x v="96"/>
    <x v="96"/>
    <x v="49"/>
    <x v="94"/>
    <x v="90"/>
    <x v="96"/>
    <x v="0"/>
    <x v="11"/>
    <n v="1.3137557959814529E-2"/>
    <n v="0.44023699124162802"/>
    <n v="5.6902298665243865E-4"/>
    <s v="Low risk"/>
    <n v="1"/>
  </r>
  <r>
    <x v="97"/>
    <x v="97"/>
    <x v="83"/>
    <x v="95"/>
    <x v="91"/>
    <x v="97"/>
    <x v="2"/>
    <x v="45"/>
    <n v="2.3762376237623763E-2"/>
    <n v="0.25346534653465347"/>
    <n v="2.3554730699463559E-4"/>
    <s v="Mod risk"/>
    <n v="2"/>
  </r>
  <r>
    <x v="98"/>
    <x v="98"/>
    <x v="84"/>
    <x v="96"/>
    <x v="92"/>
    <x v="98"/>
    <x v="2"/>
    <x v="16"/>
    <n v="6.1696658097686374E-2"/>
    <n v="0.55355612682090827"/>
    <n v="2.3024027456793942E-4"/>
    <s v="High risk"/>
    <n v="3"/>
  </r>
  <r>
    <x v="99"/>
    <x v="99"/>
    <x v="85"/>
    <x v="97"/>
    <x v="93"/>
    <x v="99"/>
    <x v="2"/>
    <x v="44"/>
    <n v="2.2638839759462327E-2"/>
    <n v="0.20410328970640254"/>
    <n v="4.1088008129815432E-4"/>
    <s v="Mod risk"/>
    <n v="2"/>
  </r>
  <r>
    <x v="100"/>
    <x v="5"/>
    <x v="26"/>
    <x v="98"/>
    <x v="94"/>
    <x v="100"/>
    <x v="1"/>
    <x v="6"/>
    <n v="1.1627906976744186E-2"/>
    <n v="0.94186046511627908"/>
    <n v="2.2549096725136999E-3"/>
    <s v="Low risk"/>
    <n v="1"/>
  </r>
  <r>
    <x v="101"/>
    <x v="100"/>
    <x v="86"/>
    <x v="99"/>
    <x v="95"/>
    <x v="101"/>
    <x v="1"/>
    <x v="9"/>
    <n v="3.9623576027736501E-2"/>
    <n v="0.80237741456166423"/>
    <n v="7.4279253940497862E-4"/>
    <s v="Mod risk"/>
    <n v="2"/>
  </r>
  <r>
    <x v="102"/>
    <x v="101"/>
    <x v="87"/>
    <x v="100"/>
    <x v="96"/>
    <x v="102"/>
    <x v="1"/>
    <x v="33"/>
    <n v="1.7718715393133997E-2"/>
    <n v="0.763328587248853"/>
    <n v="1.0082111549209509E-2"/>
    <s v="Low risk"/>
    <n v="1"/>
  </r>
  <r>
    <x v="103"/>
    <x v="102"/>
    <x v="88"/>
    <x v="101"/>
    <x v="97"/>
    <x v="103"/>
    <x v="2"/>
    <x v="23"/>
    <n v="9.3911248710010324E-3"/>
    <n v="0.6460268317853457"/>
    <n v="3.491173779461868E-4"/>
    <s v="Low risk"/>
    <n v="1"/>
  </r>
  <r>
    <x v="104"/>
    <x v="103"/>
    <x v="89"/>
    <x v="102"/>
    <x v="98"/>
    <x v="104"/>
    <x v="2"/>
    <x v="46"/>
    <n v="2.7019650655021835E-2"/>
    <n v="0.44896288209606988"/>
    <n v="1.910837426066524E-4"/>
    <s v="Mod risk"/>
    <n v="2"/>
  </r>
  <r>
    <x v="105"/>
    <x v="104"/>
    <x v="90"/>
    <x v="103"/>
    <x v="99"/>
    <x v="105"/>
    <x v="0"/>
    <x v="8"/>
    <n v="1.3926325247079964E-2"/>
    <n v="0.96597035040431267"/>
    <n v="2.7476077852837093E-4"/>
    <s v="Low risk"/>
    <n v="1"/>
  </r>
  <r>
    <x v="106"/>
    <x v="105"/>
    <x v="91"/>
    <x v="104"/>
    <x v="100"/>
    <x v="106"/>
    <x v="0"/>
    <x v="47"/>
    <n v="4.4523597506678537E-3"/>
    <n v="0.75601068566340157"/>
    <n v="6.2222041636500643E-3"/>
    <s v="Low risk"/>
    <n v="1"/>
  </r>
  <r>
    <x v="107"/>
    <x v="106"/>
    <x v="90"/>
    <x v="105"/>
    <x v="101"/>
    <x v="107"/>
    <x v="2"/>
    <x v="37"/>
    <n v="4.9343414245921209E-2"/>
    <n v="0.76124154397134902"/>
    <n v="1.2377541514880066E-4"/>
    <s v="Mod risk"/>
    <n v="2"/>
  </r>
  <r>
    <x v="108"/>
    <x v="107"/>
    <x v="92"/>
    <x v="106"/>
    <x v="102"/>
    <x v="108"/>
    <x v="1"/>
    <x v="47"/>
    <n v="1.2838801711840228E-2"/>
    <n v="0.94864479315263905"/>
    <n v="1.5871829879342395E-3"/>
    <s v="Low risk"/>
    <n v="1"/>
  </r>
  <r>
    <x v="109"/>
    <x v="108"/>
    <x v="93"/>
    <x v="107"/>
    <x v="103"/>
    <x v="109"/>
    <x v="2"/>
    <x v="5"/>
    <n v="2.5128865979381444E-2"/>
    <n v="0.74951675257731953"/>
    <n v="1.3319807549378553E-3"/>
    <s v="Mod risk"/>
    <n v="2"/>
  </r>
  <r>
    <x v="110"/>
    <x v="109"/>
    <x v="68"/>
    <x v="108"/>
    <x v="104"/>
    <x v="110"/>
    <x v="2"/>
    <x v="31"/>
    <n v="2.9069767441860465E-2"/>
    <n v="0.96511627906976749"/>
    <n v="2.7044344076384549E-4"/>
    <s v="Mod risk"/>
    <n v="2"/>
  </r>
  <r>
    <x v="111"/>
    <x v="110"/>
    <x v="94"/>
    <x v="109"/>
    <x v="105"/>
    <x v="111"/>
    <x v="3"/>
    <x v="9"/>
    <n v="0.11131030193001576"/>
    <n v="0.7681882429094109"/>
    <n v="3.0642346529872739E-3"/>
    <s v="High risk"/>
    <n v="3"/>
  </r>
  <r>
    <x v="112"/>
    <x v="111"/>
    <x v="95"/>
    <x v="110"/>
    <x v="106"/>
    <x v="112"/>
    <x v="1"/>
    <x v="47"/>
    <n v="3.2305433186490456E-2"/>
    <n v="0.69767642739915348"/>
    <n v="5.7411598313208854E-3"/>
    <s v="Mod risk"/>
    <n v="2"/>
  </r>
  <r>
    <x v="113"/>
    <x v="112"/>
    <x v="96"/>
    <x v="111"/>
    <x v="107"/>
    <x v="113"/>
    <x v="1"/>
    <x v="33"/>
    <n v="3.4482758620689655E-2"/>
    <n v="0.89655172413793105"/>
    <n v="2.9539088362617776E-3"/>
    <s v="Mod risk"/>
    <n v="2"/>
  </r>
  <r>
    <x v="114"/>
    <x v="113"/>
    <x v="19"/>
    <x v="112"/>
    <x v="108"/>
    <x v="114"/>
    <x v="0"/>
    <x v="18"/>
    <n v="0"/>
    <n v="0.76816608996539792"/>
    <n v="8.8020018615167948E-5"/>
    <s v="Low risk"/>
    <n v="1"/>
  </r>
  <r>
    <x v="115"/>
    <x v="114"/>
    <x v="62"/>
    <x v="113"/>
    <x v="109"/>
    <x v="115"/>
    <x v="1"/>
    <x v="13"/>
    <n v="1.5554787417905289E-2"/>
    <n v="0.27964051157967507"/>
    <n v="4.6061451357642573E-3"/>
    <s v="Low risk"/>
    <n v="1"/>
  </r>
  <r>
    <x v="116"/>
    <x v="115"/>
    <x v="97"/>
    <x v="114"/>
    <x v="110"/>
    <x v="116"/>
    <x v="2"/>
    <x v="3"/>
    <n v="1.5129027624838417E-2"/>
    <n v="0.79250251352515921"/>
    <n v="5.6522601910153822E-4"/>
    <s v="Low risk"/>
    <n v="1"/>
  </r>
  <r>
    <x v="117"/>
    <x v="116"/>
    <x v="11"/>
    <x v="32"/>
    <x v="111"/>
    <x v="117"/>
    <x v="2"/>
    <x v="32"/>
    <n v="6.4667842445620223E-3"/>
    <n v="0"/>
    <n v="5.4286144854583022E-5"/>
    <s v="Low risk"/>
    <n v="1"/>
  </r>
  <r>
    <x v="118"/>
    <x v="117"/>
    <x v="56"/>
    <x v="115"/>
    <x v="112"/>
    <x v="118"/>
    <x v="2"/>
    <x v="25"/>
    <n v="4.3407487791644059E-3"/>
    <n v="5.4801953336950621E-2"/>
    <n v="7.2408991758811663E-4"/>
    <s v="Low risk"/>
    <n v="1"/>
  </r>
  <r>
    <x v="119"/>
    <x v="118"/>
    <x v="98"/>
    <x v="116"/>
    <x v="113"/>
    <x v="119"/>
    <x v="0"/>
    <x v="48"/>
    <n v="2.5597269624573378E-3"/>
    <n v="0.73346843003412965"/>
    <n v="6.4248913007204774E-4"/>
    <s v="Low risk"/>
    <n v="1"/>
  </r>
  <r>
    <x v="120"/>
    <x v="119"/>
    <x v="99"/>
    <x v="117"/>
    <x v="114"/>
    <x v="120"/>
    <x v="1"/>
    <x v="30"/>
    <n v="0.11532772920450078"/>
    <n v="3.5384644187744555E-3"/>
    <n v="3.1165039049508613E-3"/>
    <s v="High risk"/>
    <n v="3"/>
  </r>
  <r>
    <x v="121"/>
    <x v="120"/>
    <x v="27"/>
    <x v="118"/>
    <x v="73"/>
    <x v="121"/>
    <x v="5"/>
    <x v="9"/>
    <n v="1.4129736673089274E-2"/>
    <n v="0.97238278741168915"/>
    <n v="3.112692669078987E-4"/>
    <s v="Low risk"/>
    <n v="1"/>
  </r>
  <r>
    <x v="122"/>
    <x v="121"/>
    <x v="100"/>
    <x v="119"/>
    <x v="115"/>
    <x v="122"/>
    <x v="3"/>
    <x v="31"/>
    <n v="3.1404478045943589E-2"/>
    <n v="0.72462925268973544"/>
    <n v="5.1852587872344626E-4"/>
    <s v="Mod risk"/>
    <n v="2"/>
  </r>
  <r>
    <x v="123"/>
    <x v="122"/>
    <x v="50"/>
    <x v="120"/>
    <x v="116"/>
    <x v="123"/>
    <x v="2"/>
    <x v="26"/>
    <n v="6.0954063604240286E-2"/>
    <n v="0.90724381625441697"/>
    <n v="4.6619983260460779E-5"/>
    <s v="High risk"/>
    <n v="3"/>
  </r>
  <r>
    <x v="124"/>
    <x v="123"/>
    <x v="101"/>
    <x v="121"/>
    <x v="117"/>
    <x v="124"/>
    <x v="2"/>
    <x v="30"/>
    <n v="2.0883924235065566E-2"/>
    <n v="0.44203496843127732"/>
    <n v="1.9931628415977636E-4"/>
    <s v="Mod risk"/>
    <n v="2"/>
  </r>
  <r>
    <x v="125"/>
    <x v="124"/>
    <x v="102"/>
    <x v="122"/>
    <x v="118"/>
    <x v="125"/>
    <x v="1"/>
    <x v="21"/>
    <n v="4.5628121022226575E-2"/>
    <n v="0.54479584842847351"/>
    <n v="4.9021654870845966E-3"/>
    <s v="Mod risk"/>
    <n v="2"/>
  </r>
  <r>
    <x v="126"/>
    <x v="125"/>
    <x v="103"/>
    <x v="123"/>
    <x v="119"/>
    <x v="126"/>
    <x v="1"/>
    <x v="21"/>
    <n v="2.7923784494086726E-2"/>
    <n v="0.95838808585194923"/>
    <n v="1.6831718389057834E-3"/>
    <s v="Mod risk"/>
    <n v="2"/>
  </r>
  <r>
    <x v="127"/>
    <x v="126"/>
    <x v="104"/>
    <x v="124"/>
    <x v="120"/>
    <x v="127"/>
    <x v="0"/>
    <x v="0"/>
    <n v="5.1000545043992833E-3"/>
    <n v="0.74006592436865737"/>
    <n v="1.5054960040606075E-2"/>
    <s v="Low risk"/>
    <n v="1"/>
  </r>
  <r>
    <x v="128"/>
    <x v="127"/>
    <x v="105"/>
    <x v="125"/>
    <x v="121"/>
    <x v="128"/>
    <x v="0"/>
    <x v="21"/>
    <n v="2.1298703192618004E-2"/>
    <n v="0.8787300985456945"/>
    <n v="1.2394674313166406E-3"/>
    <s v="Mod risk"/>
    <n v="2"/>
  </r>
  <r>
    <x v="129"/>
    <x v="128"/>
    <x v="106"/>
    <x v="126"/>
    <x v="122"/>
    <x v="129"/>
    <x v="0"/>
    <x v="1"/>
    <n v="2.1516226685329255E-2"/>
    <n v="0.57104260929006212"/>
    <n v="1.2018371235089998E-2"/>
    <s v="Mod risk"/>
    <n v="2"/>
  </r>
  <r>
    <x v="130"/>
    <x v="129"/>
    <x v="19"/>
    <x v="127"/>
    <x v="123"/>
    <x v="130"/>
    <x v="5"/>
    <x v="23"/>
    <n v="0"/>
    <n v="0.17741935483870969"/>
    <n v="6.9173198420307291E-6"/>
    <s v="Low risk"/>
    <n v="1"/>
  </r>
  <r>
    <x v="131"/>
    <x v="130"/>
    <x v="107"/>
    <x v="128"/>
    <x v="124"/>
    <x v="131"/>
    <x v="4"/>
    <x v="47"/>
    <n v="9.4547053649956022E-3"/>
    <n v="0.63874230430958667"/>
    <n v="6.368774743243014E-4"/>
    <s v="Low risk"/>
    <n v="1"/>
  </r>
  <r>
    <x v="132"/>
    <x v="131"/>
    <x v="108"/>
    <x v="129"/>
    <x v="125"/>
    <x v="132"/>
    <x v="4"/>
    <x v="17"/>
    <n v="4.7259934773181564E-2"/>
    <n v="0.69934593564047753"/>
    <n v="1.180376891803111E-2"/>
    <s v="Mod risk"/>
    <n v="2"/>
  </r>
  <r>
    <x v="133"/>
    <x v="132"/>
    <x v="109"/>
    <x v="130"/>
    <x v="126"/>
    <x v="133"/>
    <x v="0"/>
    <x v="39"/>
    <n v="2.370794734275963E-2"/>
    <n v="0.32235494880546073"/>
    <n v="7.4770294381786148E-4"/>
    <s v="Mod risk"/>
    <n v="2"/>
  </r>
  <r>
    <x v="134"/>
    <x v="133"/>
    <x v="110"/>
    <x v="131"/>
    <x v="127"/>
    <x v="134"/>
    <x v="1"/>
    <x v="38"/>
    <n v="3.8615731993917331E-2"/>
    <n v="0.75701580572323857"/>
    <n v="1.1469175421727779E-3"/>
    <s v="Mod risk"/>
    <n v="2"/>
  </r>
  <r>
    <x v="135"/>
    <x v="134"/>
    <x v="111"/>
    <x v="132"/>
    <x v="128"/>
    <x v="135"/>
    <x v="1"/>
    <x v="3"/>
    <n v="3.4175629734189548E-2"/>
    <n v="0.70329430008548877"/>
    <n v="4.9343739739265632E-3"/>
    <s v="Mod risk"/>
    <n v="2"/>
  </r>
  <r>
    <x v="136"/>
    <x v="135"/>
    <x v="112"/>
    <x v="133"/>
    <x v="129"/>
    <x v="136"/>
    <x v="0"/>
    <x v="30"/>
    <n v="1.5055156619250528E-3"/>
    <n v="0.97017254121919394"/>
    <n v="3.9032981278970584E-2"/>
    <s v="Low risk"/>
    <n v="1"/>
  </r>
  <r>
    <x v="137"/>
    <x v="136"/>
    <x v="113"/>
    <x v="134"/>
    <x v="130"/>
    <x v="137"/>
    <x v="1"/>
    <x v="21"/>
    <n v="4.805890810857915E-2"/>
    <n v="0.56193629907193587"/>
    <n v="2.3877416293145303E-3"/>
    <s v="Mod risk"/>
    <n v="2"/>
  </r>
  <r>
    <x v="138"/>
    <x v="137"/>
    <x v="114"/>
    <x v="135"/>
    <x v="131"/>
    <x v="138"/>
    <x v="1"/>
    <x v="42"/>
    <n v="1.6327080374197972E-2"/>
    <n v="0.73743571533525987"/>
    <n v="5.5959629253820543E-3"/>
    <s v="Low risk"/>
    <n v="1"/>
  </r>
  <r>
    <x v="139"/>
    <x v="138"/>
    <x v="115"/>
    <x v="136"/>
    <x v="132"/>
    <x v="139"/>
    <x v="2"/>
    <x v="25"/>
    <n v="2.6609898882384245E-3"/>
    <n v="0.51889302820649286"/>
    <n v="1.4474393111575461E-4"/>
    <s v="Low risk"/>
    <n v="1"/>
  </r>
  <r>
    <x v="140"/>
    <x v="139"/>
    <x v="19"/>
    <x v="137"/>
    <x v="104"/>
    <x v="140"/>
    <x v="3"/>
    <x v="44"/>
    <n v="0"/>
    <n v="0.88235294117647056"/>
    <n v="3.1932678400360654E-4"/>
    <s v="Low risk"/>
    <n v="1"/>
  </r>
  <r>
    <x v="141"/>
    <x v="140"/>
    <x v="19"/>
    <x v="138"/>
    <x v="104"/>
    <x v="141"/>
    <x v="3"/>
    <x v="5"/>
    <n v="0"/>
    <n v="0.91666666666666663"/>
    <n v="1.306392614527086E-4"/>
    <s v="Low risk"/>
    <n v="1"/>
  </r>
  <r>
    <x v="142"/>
    <x v="141"/>
    <x v="19"/>
    <x v="139"/>
    <x v="19"/>
    <x v="142"/>
    <x v="3"/>
    <x v="29"/>
    <n v="0"/>
    <n v="0.75"/>
    <n v="5.0000000000000001E-4"/>
    <s v="Low risk"/>
    <n v="1"/>
  </r>
  <r>
    <x v="143"/>
    <x v="142"/>
    <x v="116"/>
    <x v="140"/>
    <x v="24"/>
    <x v="143"/>
    <x v="1"/>
    <x v="30"/>
    <n v="6.0085836909871244E-2"/>
    <n v="0.93991416309012876"/>
    <n v="2.0596381637102954E-2"/>
    <s v="High risk"/>
    <n v="3"/>
  </r>
  <r>
    <x v="144"/>
    <x v="143"/>
    <x v="117"/>
    <x v="141"/>
    <x v="133"/>
    <x v="144"/>
    <x v="2"/>
    <x v="49"/>
    <n v="1.6184971098265895E-2"/>
    <n v="0.84855491329479771"/>
    <n v="3.9399846955507781E-3"/>
    <s v="Low risk"/>
    <n v="1"/>
  </r>
  <r>
    <x v="145"/>
    <x v="144"/>
    <x v="118"/>
    <x v="142"/>
    <x v="134"/>
    <x v="145"/>
    <x v="0"/>
    <x v="3"/>
    <n v="1.0262741044271086E-2"/>
    <n v="0.8289617526976879"/>
    <n v="7.7133776396371484E-3"/>
    <s v="Low risk"/>
    <n v="1"/>
  </r>
  <r>
    <x v="146"/>
    <x v="145"/>
    <x v="119"/>
    <x v="143"/>
    <x v="135"/>
    <x v="146"/>
    <x v="2"/>
    <x v="3"/>
    <n v="1.9868906185989348E-2"/>
    <n v="0.66335518230233514"/>
    <n v="5.8174878188156404E-4"/>
    <s v="Low risk"/>
    <n v="1"/>
  </r>
  <r>
    <x v="147"/>
    <x v="146"/>
    <x v="120"/>
    <x v="32"/>
    <x v="136"/>
    <x v="147"/>
    <x v="1"/>
    <x v="17"/>
    <n v="2.2492854479930408E-2"/>
    <n v="0"/>
    <n v="2.7641316675187334E-3"/>
    <s v="Mod risk"/>
    <n v="2"/>
  </r>
  <r>
    <x v="148"/>
    <x v="147"/>
    <x v="19"/>
    <x v="139"/>
    <x v="137"/>
    <x v="148"/>
    <x v="2"/>
    <x v="25"/>
    <n v="0"/>
    <n v="0.34210526315789475"/>
    <n v="1.158442403056662E-3"/>
    <s v="Low risk"/>
    <n v="1"/>
  </r>
  <r>
    <x v="149"/>
    <x v="148"/>
    <x v="121"/>
    <x v="144"/>
    <x v="138"/>
    <x v="149"/>
    <x v="2"/>
    <x v="22"/>
    <n v="3.7016264722378012E-2"/>
    <n v="0.73864273696017946"/>
    <n v="2.230933805328691E-4"/>
    <s v="Mod risk"/>
    <n v="2"/>
  </r>
  <r>
    <x v="150"/>
    <x v="149"/>
    <x v="122"/>
    <x v="145"/>
    <x v="139"/>
    <x v="150"/>
    <x v="0"/>
    <x v="50"/>
    <n v="5.3109878437389356E-4"/>
    <n v="0.89877650576340529"/>
    <n v="8.6829360272672688E-3"/>
    <s v="Low risk"/>
    <n v="1"/>
  </r>
  <r>
    <x v="151"/>
    <x v="150"/>
    <x v="123"/>
    <x v="146"/>
    <x v="140"/>
    <x v="151"/>
    <x v="1"/>
    <x v="17"/>
    <n v="1.2838147638697846E-2"/>
    <n v="0.74094452086198992"/>
    <n v="3.994567680998697E-4"/>
    <s v="Low risk"/>
    <n v="1"/>
  </r>
  <r>
    <x v="152"/>
    <x v="151"/>
    <x v="124"/>
    <x v="147"/>
    <x v="141"/>
    <x v="152"/>
    <x v="1"/>
    <x v="38"/>
    <n v="5.558217537134643E-2"/>
    <n v="0.83037853378054627"/>
    <n v="1.0038634553297598E-3"/>
    <s v="High risk"/>
    <n v="3"/>
  </r>
  <r>
    <x v="153"/>
    <x v="152"/>
    <x v="125"/>
    <x v="148"/>
    <x v="142"/>
    <x v="153"/>
    <x v="2"/>
    <x v="16"/>
    <n v="2.9098873591989989E-2"/>
    <n v="0.48279098873591991"/>
    <n v="2.0058981942648382E-4"/>
    <s v="Mod risk"/>
    <n v="2"/>
  </r>
  <r>
    <x v="154"/>
    <x v="153"/>
    <x v="126"/>
    <x v="149"/>
    <x v="143"/>
    <x v="154"/>
    <x v="2"/>
    <x v="19"/>
    <n v="1.5616678710093718E-2"/>
    <n v="0.60753012514115112"/>
    <n v="7.6206983157028904E-3"/>
    <s v="Low risk"/>
    <n v="1"/>
  </r>
  <r>
    <x v="155"/>
    <x v="154"/>
    <x v="127"/>
    <x v="150"/>
    <x v="144"/>
    <x v="155"/>
    <x v="0"/>
    <x v="51"/>
    <n v="2.1122298106033936E-2"/>
    <n v="0.91579243821727807"/>
    <n v="2.7700343715959667E-4"/>
    <s v="Mod risk"/>
    <n v="2"/>
  </r>
  <r>
    <x v="156"/>
    <x v="155"/>
    <x v="128"/>
    <x v="151"/>
    <x v="145"/>
    <x v="156"/>
    <x v="2"/>
    <x v="52"/>
    <n v="1.9956616052060738E-2"/>
    <n v="0.50976138828633411"/>
    <n v="2.0568287965311784E-4"/>
    <s v="Low risk"/>
    <n v="1"/>
  </r>
  <r>
    <x v="157"/>
    <x v="156"/>
    <x v="129"/>
    <x v="152"/>
    <x v="146"/>
    <x v="157"/>
    <x v="1"/>
    <x v="42"/>
    <n v="0.10436787178668311"/>
    <n v="0.55199856105072664"/>
    <n v="5.8263586388827534E-3"/>
    <s v="High risk"/>
    <n v="3"/>
  </r>
  <r>
    <x v="158"/>
    <x v="157"/>
    <x v="11"/>
    <x v="153"/>
    <x v="147"/>
    <x v="158"/>
    <x v="0"/>
    <x v="24"/>
    <n v="3.9215686274509803E-3"/>
    <n v="0.75614973262032081"/>
    <n v="1.3093794232400704E-4"/>
    <s v="Low risk"/>
    <n v="1"/>
  </r>
  <r>
    <x v="159"/>
    <x v="158"/>
    <x v="130"/>
    <x v="154"/>
    <x v="148"/>
    <x v="159"/>
    <x v="2"/>
    <x v="5"/>
    <n v="6.3025210084033612E-2"/>
    <n v="0.51987044817927175"/>
    <n v="2.5996997601649536E-4"/>
    <s v="High risk"/>
    <n v="3"/>
  </r>
  <r>
    <x v="160"/>
    <x v="159"/>
    <x v="131"/>
    <x v="155"/>
    <x v="149"/>
    <x v="160"/>
    <x v="4"/>
    <x v="5"/>
    <n v="1.6183412002697236E-2"/>
    <n v="0.62373567093728932"/>
    <n v="2.5257428204525558E-3"/>
    <s v="Low risk"/>
    <n v="1"/>
  </r>
  <r>
    <x v="161"/>
    <x v="160"/>
    <x v="132"/>
    <x v="32"/>
    <x v="150"/>
    <x v="161"/>
    <x v="1"/>
    <x v="42"/>
    <n v="7.1792934063857922E-2"/>
    <n v="0"/>
    <n v="7.8565381002763217E-3"/>
    <s v="High risk"/>
    <n v="3"/>
  </r>
  <r>
    <x v="162"/>
    <x v="161"/>
    <x v="133"/>
    <x v="156"/>
    <x v="9"/>
    <x v="162"/>
    <x v="1"/>
    <x v="2"/>
    <n v="5.7371581054036024E-2"/>
    <n v="0.89624967369550712"/>
    <n v="3.9807402234765879E-3"/>
    <s v="High risk"/>
    <n v="3"/>
  </r>
  <r>
    <x v="163"/>
    <x v="162"/>
    <x v="134"/>
    <x v="32"/>
    <x v="151"/>
    <x v="163"/>
    <x v="0"/>
    <x v="32"/>
    <n v="5.9347181008902079E-2"/>
    <n v="0"/>
    <n v="3.8427330155761816E-5"/>
    <s v="High risk"/>
    <n v="3"/>
  </r>
  <r>
    <x v="164"/>
    <x v="163"/>
    <x v="14"/>
    <x v="157"/>
    <x v="152"/>
    <x v="164"/>
    <x v="0"/>
    <x v="53"/>
    <n v="1.5151515151515152E-2"/>
    <n v="0.95238095238095233"/>
    <n v="1.9394489756791838E-5"/>
    <s v="Low risk"/>
    <n v="1"/>
  </r>
  <r>
    <x v="165"/>
    <x v="164"/>
    <x v="135"/>
    <x v="158"/>
    <x v="153"/>
    <x v="165"/>
    <x v="0"/>
    <x v="28"/>
    <n v="8.2930200414651004E-3"/>
    <n v="0.83317208016586042"/>
    <n v="7.569996572313922E-4"/>
    <s v="Low risk"/>
    <n v="1"/>
  </r>
  <r>
    <x v="166"/>
    <x v="165"/>
    <x v="136"/>
    <x v="159"/>
    <x v="154"/>
    <x v="166"/>
    <x v="2"/>
    <x v="16"/>
    <n v="4.1257367387033402E-2"/>
    <n v="0.35952848722986247"/>
    <n v="8.4994279918358071E-6"/>
    <s v="Mod risk"/>
    <n v="2"/>
  </r>
  <r>
    <x v="167"/>
    <x v="166"/>
    <x v="44"/>
    <x v="160"/>
    <x v="155"/>
    <x v="167"/>
    <x v="0"/>
    <x v="48"/>
    <n v="1.7591750075826508E-2"/>
    <n v="0.94358507734303909"/>
    <n v="4.7222850921283877E-5"/>
    <s v="Low risk"/>
    <n v="1"/>
  </r>
  <r>
    <x v="168"/>
    <x v="140"/>
    <x v="19"/>
    <x v="32"/>
    <x v="47"/>
    <x v="168"/>
    <x v="0"/>
    <x v="4"/>
    <n v="0"/>
    <n v="0"/>
    <n v="1.8170640484792688E-5"/>
    <s v="Low risk"/>
    <n v="1"/>
  </r>
  <r>
    <x v="169"/>
    <x v="167"/>
    <x v="137"/>
    <x v="161"/>
    <x v="156"/>
    <x v="169"/>
    <x v="2"/>
    <x v="17"/>
    <n v="2.0594965675057208E-2"/>
    <n v="0.69450800915331812"/>
    <n v="1.0534458648151732E-4"/>
    <s v="Mod risk"/>
    <n v="2"/>
  </r>
  <r>
    <x v="170"/>
    <x v="168"/>
    <x v="56"/>
    <x v="95"/>
    <x v="157"/>
    <x v="170"/>
    <x v="3"/>
    <x v="36"/>
    <n v="5.4054054054054057E-2"/>
    <n v="0.86486486486486491"/>
    <n v="1.0571806135933426E-4"/>
    <s v="High risk"/>
    <n v="3"/>
  </r>
  <r>
    <x v="171"/>
    <x v="169"/>
    <x v="138"/>
    <x v="162"/>
    <x v="158"/>
    <x v="171"/>
    <x v="2"/>
    <x v="3"/>
    <n v="3.4364261168384883E-2"/>
    <n v="0.79518900343642607"/>
    <n v="1.2298406506879795E-4"/>
    <s v="Mod risk"/>
    <n v="2"/>
  </r>
  <r>
    <x v="172"/>
    <x v="170"/>
    <x v="139"/>
    <x v="163"/>
    <x v="159"/>
    <x v="172"/>
    <x v="0"/>
    <x v="29"/>
    <n v="2.4799686369863315E-2"/>
    <n v="0.92709861289143203"/>
    <n v="2.6888959820844972E-3"/>
    <s v="Mod risk"/>
    <n v="2"/>
  </r>
  <r>
    <x v="173"/>
    <x v="171"/>
    <x v="140"/>
    <x v="164"/>
    <x v="160"/>
    <x v="173"/>
    <x v="3"/>
    <x v="53"/>
    <n v="3.4499315775574385E-2"/>
    <n v="0.30902656459668287"/>
    <n v="1.2953753694201112E-2"/>
    <s v="Mod risk"/>
    <n v="2"/>
  </r>
  <r>
    <x v="174"/>
    <x v="172"/>
    <x v="17"/>
    <x v="165"/>
    <x v="161"/>
    <x v="174"/>
    <x v="2"/>
    <x v="32"/>
    <n v="1.7730496453900709E-3"/>
    <n v="0.87411347517730498"/>
    <n v="2.4592387714166339E-5"/>
    <s v="Low risk"/>
    <n v="1"/>
  </r>
  <r>
    <x v="175"/>
    <x v="173"/>
    <x v="141"/>
    <x v="166"/>
    <x v="162"/>
    <x v="175"/>
    <x v="1"/>
    <x v="6"/>
    <n v="2.4382973649695959E-2"/>
    <n v="0.55445928222248719"/>
    <n v="1.5351717840661086E-3"/>
    <s v="Mod risk"/>
    <n v="2"/>
  </r>
  <r>
    <x v="176"/>
    <x v="174"/>
    <x v="142"/>
    <x v="167"/>
    <x v="163"/>
    <x v="176"/>
    <x v="0"/>
    <x v="54"/>
    <n v="5.8299677239468037E-3"/>
    <n v="0.88733798604187442"/>
    <n v="5.9762197413290681E-3"/>
    <s v="Low risk"/>
    <n v="1"/>
  </r>
  <r>
    <x v="177"/>
    <x v="175"/>
    <x v="143"/>
    <x v="168"/>
    <x v="164"/>
    <x v="177"/>
    <x v="1"/>
    <x v="42"/>
    <n v="0.15194824134593712"/>
    <n v="4.7628833176448756E-3"/>
    <n v="4.4419756659507328E-3"/>
    <s v="High risk"/>
    <n v="3"/>
  </r>
  <r>
    <x v="178"/>
    <x v="176"/>
    <x v="18"/>
    <x v="169"/>
    <x v="165"/>
    <x v="178"/>
    <x v="4"/>
    <x v="5"/>
    <n v="2.9118136439267885E-2"/>
    <n v="0.79118136439267883"/>
    <n v="3.4590366036289381E-4"/>
    <s v="Mod risk"/>
    <n v="2"/>
  </r>
  <r>
    <x v="179"/>
    <x v="177"/>
    <x v="144"/>
    <x v="170"/>
    <x v="166"/>
    <x v="179"/>
    <x v="0"/>
    <x v="10"/>
    <n v="5.7051251827054551E-3"/>
    <n v="0.55042670564383045"/>
    <n v="6.3280173392866643E-4"/>
    <s v="Low risk"/>
    <n v="1"/>
  </r>
  <r>
    <x v="180"/>
    <x v="178"/>
    <x v="145"/>
    <x v="171"/>
    <x v="167"/>
    <x v="180"/>
    <x v="4"/>
    <x v="5"/>
    <n v="9.1318488866649981E-3"/>
    <n v="0.62290467850888165"/>
    <n v="5.624131760588577E-4"/>
    <s v="Low risk"/>
    <n v="1"/>
  </r>
  <r>
    <x v="181"/>
    <x v="179"/>
    <x v="19"/>
    <x v="172"/>
    <x v="168"/>
    <x v="181"/>
    <x v="0"/>
    <x v="50"/>
    <n v="0"/>
    <n v="0.84686774941995357"/>
    <n v="4.4238944908348918E-6"/>
    <s v="Low risk"/>
    <n v="1"/>
  </r>
  <r>
    <x v="182"/>
    <x v="25"/>
    <x v="146"/>
    <x v="173"/>
    <x v="169"/>
    <x v="182"/>
    <x v="0"/>
    <x v="19"/>
    <n v="7.3439412484700125E-3"/>
    <n v="0.35326240466999342"/>
    <n v="2.2127083333333335E-3"/>
    <s v="Low risk"/>
    <n v="1"/>
  </r>
  <r>
    <x v="183"/>
    <x v="180"/>
    <x v="26"/>
    <x v="174"/>
    <x v="65"/>
    <x v="183"/>
    <x v="2"/>
    <x v="55"/>
    <n v="0.1"/>
    <n v="0.8"/>
    <n v="1.6703358377235327E-5"/>
    <s v="High risk"/>
    <n v="3"/>
  </r>
  <r>
    <x v="184"/>
    <x v="181"/>
    <x v="147"/>
    <x v="175"/>
    <x v="170"/>
    <x v="184"/>
    <x v="0"/>
    <x v="56"/>
    <n v="0.28562980484920164"/>
    <n v="0.49260792430514488"/>
    <n v="5.6579978844909859E-5"/>
    <s v="High risk"/>
    <n v="3"/>
  </r>
  <r>
    <x v="185"/>
    <x v="182"/>
    <x v="148"/>
    <x v="176"/>
    <x v="171"/>
    <x v="185"/>
    <x v="2"/>
    <x v="31"/>
    <n v="3.0755711775043937E-2"/>
    <n v="0.61840949033391912"/>
    <n v="2.4698687676033088E-4"/>
    <s v="Mod risk"/>
    <n v="2"/>
  </r>
  <r>
    <x v="186"/>
    <x v="183"/>
    <x v="149"/>
    <x v="177"/>
    <x v="172"/>
    <x v="186"/>
    <x v="2"/>
    <x v="4"/>
    <n v="1.3313609467455622E-2"/>
    <n v="0.20044378698224852"/>
    <n v="1.8167399823821909E-4"/>
    <s v="Low risk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08A920-7A55-4958-92AC-0AC285948F6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3:C14" firstHeaderRow="0" firstDataRow="1" firstDataCol="1"/>
  <pivotFields count="16">
    <pivotField axis="axisRow" showAll="0" measureFilter="1">
      <items count="1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2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3"/>
        <item x="179"/>
        <item x="180"/>
        <item x="181"/>
        <item x="182"/>
        <item x="183"/>
        <item x="184"/>
        <item x="185"/>
        <item x="186"/>
        <item t="default"/>
      </items>
    </pivotField>
    <pivotField dataField="1" showAll="0">
      <items count="185">
        <item x="180"/>
        <item x="75"/>
        <item x="68"/>
        <item x="139"/>
        <item x="49"/>
        <item x="94"/>
        <item x="69"/>
        <item x="140"/>
        <item x="59"/>
        <item x="17"/>
        <item x="141"/>
        <item x="129"/>
        <item x="5"/>
        <item x="19"/>
        <item x="14"/>
        <item x="147"/>
        <item x="112"/>
        <item x="24"/>
        <item x="168"/>
        <item x="30"/>
        <item x="55"/>
        <item x="113"/>
        <item x="63"/>
        <item x="109"/>
        <item x="27"/>
        <item x="38"/>
        <item x="28"/>
        <item x="11"/>
        <item x="73"/>
        <item x="179"/>
        <item x="163"/>
        <item x="97"/>
        <item x="165"/>
        <item x="162"/>
        <item x="142"/>
        <item x="107"/>
        <item x="22"/>
        <item x="86"/>
        <item x="143"/>
        <item x="167"/>
        <item x="3"/>
        <item x="34"/>
        <item x="4"/>
        <item x="45"/>
        <item x="26"/>
        <item x="172"/>
        <item x="122"/>
        <item x="64"/>
        <item x="98"/>
        <item x="88"/>
        <item x="176"/>
        <item x="95"/>
        <item x="169"/>
        <item x="159"/>
        <item x="120"/>
        <item x="181"/>
        <item x="116"/>
        <item x="18"/>
        <item x="148"/>
        <item x="117"/>
        <item x="78"/>
        <item x="138"/>
        <item x="72"/>
        <item x="100"/>
        <item x="56"/>
        <item x="151"/>
        <item x="150"/>
        <item x="155"/>
        <item x="57"/>
        <item x="29"/>
        <item x="106"/>
        <item x="44"/>
        <item x="183"/>
        <item x="157"/>
        <item x="99"/>
        <item x="114"/>
        <item x="54"/>
        <item x="152"/>
        <item x="39"/>
        <item x="166"/>
        <item x="105"/>
        <item x="121"/>
        <item x="103"/>
        <item x="96"/>
        <item x="67"/>
        <item x="77"/>
        <item x="130"/>
        <item x="182"/>
        <item x="33"/>
        <item x="1"/>
        <item x="43"/>
        <item x="48"/>
        <item x="108"/>
        <item x="101"/>
        <item x="71"/>
        <item x="62"/>
        <item x="164"/>
        <item x="74"/>
        <item x="60"/>
        <item x="91"/>
        <item x="40"/>
        <item x="104"/>
        <item x="125"/>
        <item x="102"/>
        <item x="145"/>
        <item x="124"/>
        <item x="21"/>
        <item x="25"/>
        <item x="158"/>
        <item x="47"/>
        <item x="154"/>
        <item x="58"/>
        <item x="53"/>
        <item x="8"/>
        <item x="46"/>
        <item x="42"/>
        <item x="41"/>
        <item x="178"/>
        <item x="31"/>
        <item x="90"/>
        <item x="118"/>
        <item x="9"/>
        <item x="115"/>
        <item x="177"/>
        <item x="111"/>
        <item x="146"/>
        <item x="83"/>
        <item x="2"/>
        <item x="10"/>
        <item x="87"/>
        <item x="93"/>
        <item x="66"/>
        <item x="161"/>
        <item x="7"/>
        <item x="12"/>
        <item x="76"/>
        <item x="123"/>
        <item x="133"/>
        <item x="70"/>
        <item x="136"/>
        <item x="134"/>
        <item x="149"/>
        <item x="119"/>
        <item x="174"/>
        <item x="128"/>
        <item x="84"/>
        <item x="50"/>
        <item x="92"/>
        <item x="16"/>
        <item x="173"/>
        <item x="15"/>
        <item x="20"/>
        <item x="126"/>
        <item x="160"/>
        <item x="51"/>
        <item x="132"/>
        <item x="89"/>
        <item x="36"/>
        <item x="52"/>
        <item x="80"/>
        <item x="135"/>
        <item x="82"/>
        <item x="32"/>
        <item x="6"/>
        <item x="65"/>
        <item x="61"/>
        <item x="13"/>
        <item x="170"/>
        <item x="85"/>
        <item x="37"/>
        <item x="144"/>
        <item x="156"/>
        <item x="127"/>
        <item x="81"/>
        <item x="175"/>
        <item x="35"/>
        <item x="131"/>
        <item x="110"/>
        <item x="153"/>
        <item x="137"/>
        <item x="79"/>
        <item x="23"/>
        <item x="171"/>
        <item x="0"/>
        <item t="default"/>
      </items>
    </pivotField>
    <pivotField showAll="0">
      <items count="151">
        <item x="19"/>
        <item x="26"/>
        <item x="17"/>
        <item x="5"/>
        <item x="96"/>
        <item x="115"/>
        <item x="25"/>
        <item x="14"/>
        <item x="56"/>
        <item x="92"/>
        <item x="68"/>
        <item x="11"/>
        <item x="83"/>
        <item x="117"/>
        <item x="91"/>
        <item x="57"/>
        <item x="137"/>
        <item x="41"/>
        <item x="64"/>
        <item x="136"/>
        <item x="27"/>
        <item x="131"/>
        <item x="63"/>
        <item x="122"/>
        <item x="123"/>
        <item x="82"/>
        <item x="51"/>
        <item x="18"/>
        <item x="149"/>
        <item x="134"/>
        <item x="4"/>
        <item x="116"/>
        <item x="107"/>
        <item x="62"/>
        <item x="128"/>
        <item x="98"/>
        <item x="55"/>
        <item x="138"/>
        <item x="49"/>
        <item x="3"/>
        <item x="24"/>
        <item x="35"/>
        <item x="44"/>
        <item x="30"/>
        <item x="135"/>
        <item x="85"/>
        <item x="121"/>
        <item x="50"/>
        <item x="84"/>
        <item x="31"/>
        <item x="146"/>
        <item x="86"/>
        <item x="40"/>
        <item x="88"/>
        <item x="125"/>
        <item x="38"/>
        <item x="89"/>
        <item x="100"/>
        <item x="87"/>
        <item x="37"/>
        <item x="124"/>
        <item x="144"/>
        <item x="90"/>
        <item x="39"/>
        <item x="148"/>
        <item x="12"/>
        <item x="1"/>
        <item x="145"/>
        <item x="93"/>
        <item x="65"/>
        <item x="112"/>
        <item x="8"/>
        <item x="59"/>
        <item x="79"/>
        <item x="119"/>
        <item x="60"/>
        <item x="36"/>
        <item x="52"/>
        <item x="103"/>
        <item x="78"/>
        <item x="21"/>
        <item x="127"/>
        <item x="97"/>
        <item x="53"/>
        <item x="142"/>
        <item x="23"/>
        <item x="42"/>
        <item x="28"/>
        <item x="104"/>
        <item x="48"/>
        <item x="10"/>
        <item x="80"/>
        <item x="102"/>
        <item x="74"/>
        <item x="147"/>
        <item x="15"/>
        <item x="120"/>
        <item x="77"/>
        <item x="67"/>
        <item x="43"/>
        <item x="7"/>
        <item x="9"/>
        <item x="130"/>
        <item x="95"/>
        <item x="101"/>
        <item x="76"/>
        <item x="45"/>
        <item x="2"/>
        <item x="66"/>
        <item x="81"/>
        <item x="106"/>
        <item x="141"/>
        <item x="110"/>
        <item x="111"/>
        <item x="61"/>
        <item x="73"/>
        <item x="109"/>
        <item x="133"/>
        <item x="113"/>
        <item x="20"/>
        <item x="118"/>
        <item x="13"/>
        <item x="6"/>
        <item x="72"/>
        <item x="47"/>
        <item x="33"/>
        <item x="70"/>
        <item x="46"/>
        <item x="139"/>
        <item x="132"/>
        <item x="105"/>
        <item x="99"/>
        <item x="126"/>
        <item x="34"/>
        <item x="29"/>
        <item x="58"/>
        <item x="32"/>
        <item x="16"/>
        <item x="114"/>
        <item x="71"/>
        <item x="108"/>
        <item x="129"/>
        <item x="54"/>
        <item x="69"/>
        <item x="75"/>
        <item x="94"/>
        <item x="143"/>
        <item x="22"/>
        <item x="140"/>
        <item x="0"/>
        <item t="default"/>
      </items>
    </pivotField>
    <pivotField dataField="1" showAll="0">
      <items count="179">
        <item x="32"/>
        <item x="174"/>
        <item x="127"/>
        <item x="73"/>
        <item x="67"/>
        <item x="137"/>
        <item x="49"/>
        <item x="92"/>
        <item x="138"/>
        <item x="68"/>
        <item x="17"/>
        <item x="139"/>
        <item x="22"/>
        <item x="5"/>
        <item x="62"/>
        <item x="98"/>
        <item x="19"/>
        <item x="11"/>
        <item x="14"/>
        <item x="115"/>
        <item x="111"/>
        <item x="95"/>
        <item x="24"/>
        <item x="30"/>
        <item x="71"/>
        <item x="159"/>
        <item x="117"/>
        <item x="55"/>
        <item x="112"/>
        <item x="4"/>
        <item x="27"/>
        <item x="28"/>
        <item x="38"/>
        <item x="108"/>
        <item x="172"/>
        <item x="157"/>
        <item x="177"/>
        <item x="97"/>
        <item x="161"/>
        <item x="96"/>
        <item x="140"/>
        <item x="106"/>
        <item x="84"/>
        <item x="141"/>
        <item x="3"/>
        <item x="113"/>
        <item x="34"/>
        <item x="39"/>
        <item x="175"/>
        <item x="54"/>
        <item x="45"/>
        <item x="63"/>
        <item x="155"/>
        <item x="26"/>
        <item x="169"/>
        <item x="136"/>
        <item x="165"/>
        <item x="57"/>
        <item x="120"/>
        <item x="18"/>
        <item x="86"/>
        <item x="93"/>
        <item x="162"/>
        <item x="151"/>
        <item x="144"/>
        <item x="66"/>
        <item x="168"/>
        <item x="118"/>
        <item x="148"/>
        <item x="33"/>
        <item x="29"/>
        <item x="146"/>
        <item x="99"/>
        <item x="102"/>
        <item x="94"/>
        <item x="147"/>
        <item x="76"/>
        <item x="105"/>
        <item x="56"/>
        <item x="153"/>
        <item x="44"/>
        <item x="119"/>
        <item x="104"/>
        <item x="1"/>
        <item x="176"/>
        <item x="128"/>
        <item x="160"/>
        <item x="75"/>
        <item x="173"/>
        <item x="41"/>
        <item x="43"/>
        <item x="89"/>
        <item x="72"/>
        <item x="107"/>
        <item x="61"/>
        <item x="100"/>
        <item x="21"/>
        <item x="48"/>
        <item x="74"/>
        <item x="122"/>
        <item x="25"/>
        <item x="40"/>
        <item x="154"/>
        <item x="158"/>
        <item x="70"/>
        <item x="101"/>
        <item x="58"/>
        <item x="143"/>
        <item x="59"/>
        <item x="53"/>
        <item x="88"/>
        <item x="103"/>
        <item x="123"/>
        <item x="8"/>
        <item x="171"/>
        <item x="42"/>
        <item x="46"/>
        <item x="170"/>
        <item x="47"/>
        <item x="150"/>
        <item x="116"/>
        <item x="31"/>
        <item x="110"/>
        <item x="114"/>
        <item x="16"/>
        <item x="121"/>
        <item x="9"/>
        <item x="2"/>
        <item x="91"/>
        <item x="20"/>
        <item x="85"/>
        <item x="10"/>
        <item x="81"/>
        <item x="134"/>
        <item x="130"/>
        <item x="7"/>
        <item x="82"/>
        <item x="65"/>
        <item x="50"/>
        <item x="156"/>
        <item x="69"/>
        <item x="131"/>
        <item x="52"/>
        <item x="51"/>
        <item x="126"/>
        <item x="132"/>
        <item x="12"/>
        <item x="166"/>
        <item x="145"/>
        <item x="167"/>
        <item x="87"/>
        <item x="90"/>
        <item x="124"/>
        <item x="78"/>
        <item x="15"/>
        <item x="6"/>
        <item x="80"/>
        <item x="36"/>
        <item x="60"/>
        <item x="133"/>
        <item x="13"/>
        <item x="37"/>
        <item x="152"/>
        <item x="64"/>
        <item x="83"/>
        <item x="163"/>
        <item x="142"/>
        <item x="125"/>
        <item x="79"/>
        <item x="129"/>
        <item x="149"/>
        <item x="109"/>
        <item x="35"/>
        <item x="135"/>
        <item x="77"/>
        <item x="164"/>
        <item x="23"/>
        <item x="0"/>
        <item t="default"/>
      </items>
    </pivotField>
    <pivotField showAll="0">
      <items count="174">
        <item x="24"/>
        <item x="65"/>
        <item x="104"/>
        <item x="94"/>
        <item x="107"/>
        <item x="14"/>
        <item x="157"/>
        <item x="19"/>
        <item x="152"/>
        <item x="5"/>
        <item x="37"/>
        <item x="17"/>
        <item x="73"/>
        <item x="47"/>
        <item x="102"/>
        <item x="116"/>
        <item x="33"/>
        <item x="54"/>
        <item x="123"/>
        <item x="3"/>
        <item x="168"/>
        <item x="108"/>
        <item x="53"/>
        <item x="137"/>
        <item x="27"/>
        <item x="29"/>
        <item x="43"/>
        <item x="133"/>
        <item x="26"/>
        <item x="83"/>
        <item x="119"/>
        <item x="155"/>
        <item x="81"/>
        <item x="161"/>
        <item x="89"/>
        <item x="57"/>
        <item x="99"/>
        <item x="69"/>
        <item x="44"/>
        <item x="61"/>
        <item x="165"/>
        <item x="141"/>
        <item x="158"/>
        <item x="156"/>
        <item x="60"/>
        <item x="11"/>
        <item x="154"/>
        <item x="95"/>
        <item x="91"/>
        <item x="170"/>
        <item x="138"/>
        <item x="92"/>
        <item x="101"/>
        <item x="72"/>
        <item x="149"/>
        <item x="140"/>
        <item x="46"/>
        <item x="151"/>
        <item x="4"/>
        <item x="147"/>
        <item x="22"/>
        <item x="18"/>
        <item x="67"/>
        <item x="28"/>
        <item x="78"/>
        <item x="42"/>
        <item x="100"/>
        <item x="115"/>
        <item x="144"/>
        <item x="132"/>
        <item x="145"/>
        <item x="68"/>
        <item x="153"/>
        <item x="55"/>
        <item x="96"/>
        <item x="103"/>
        <item x="142"/>
        <item x="171"/>
        <item x="9"/>
        <item x="124"/>
        <item x="111"/>
        <item x="112"/>
        <item x="98"/>
        <item x="1"/>
        <item x="109"/>
        <item x="90"/>
        <item x="172"/>
        <item x="52"/>
        <item x="30"/>
        <item x="93"/>
        <item x="38"/>
        <item x="59"/>
        <item x="64"/>
        <item x="70"/>
        <item x="39"/>
        <item x="32"/>
        <item x="135"/>
        <item x="129"/>
        <item x="86"/>
        <item x="12"/>
        <item x="35"/>
        <item x="97"/>
        <item x="63"/>
        <item x="45"/>
        <item x="110"/>
        <item x="118"/>
        <item x="25"/>
        <item x="148"/>
        <item x="113"/>
        <item x="139"/>
        <item x="41"/>
        <item x="21"/>
        <item x="8"/>
        <item x="167"/>
        <item x="15"/>
        <item x="106"/>
        <item x="163"/>
        <item x="10"/>
        <item x="169"/>
        <item x="51"/>
        <item x="62"/>
        <item x="56"/>
        <item x="2"/>
        <item x="82"/>
        <item x="127"/>
        <item x="87"/>
        <item x="166"/>
        <item x="85"/>
        <item x="7"/>
        <item x="88"/>
        <item x="159"/>
        <item x="66"/>
        <item x="40"/>
        <item x="80"/>
        <item x="128"/>
        <item x="130"/>
        <item x="34"/>
        <item x="120"/>
        <item x="117"/>
        <item x="76"/>
        <item x="136"/>
        <item x="122"/>
        <item x="121"/>
        <item x="162"/>
        <item x="84"/>
        <item x="77"/>
        <item x="48"/>
        <item x="71"/>
        <item x="79"/>
        <item x="75"/>
        <item x="16"/>
        <item x="49"/>
        <item x="134"/>
        <item x="20"/>
        <item x="114"/>
        <item x="105"/>
        <item x="50"/>
        <item x="126"/>
        <item x="150"/>
        <item x="6"/>
        <item x="146"/>
        <item x="13"/>
        <item x="125"/>
        <item x="31"/>
        <item x="58"/>
        <item x="36"/>
        <item x="143"/>
        <item x="131"/>
        <item x="164"/>
        <item x="74"/>
        <item x="23"/>
        <item x="160"/>
        <item x="0"/>
        <item t="default"/>
      </items>
    </pivotField>
    <pivotField showAll="0">
      <items count="188">
        <item x="75"/>
        <item x="143"/>
        <item x="100"/>
        <item x="113"/>
        <item x="140"/>
        <item x="68"/>
        <item x="49"/>
        <item x="3"/>
        <item x="5"/>
        <item x="148"/>
        <item x="142"/>
        <item x="69"/>
        <item x="141"/>
        <item x="144"/>
        <item x="14"/>
        <item x="78"/>
        <item x="11"/>
        <item x="17"/>
        <item x="24"/>
        <item x="108"/>
        <item x="106"/>
        <item x="29"/>
        <item x="160"/>
        <item x="183"/>
        <item x="102"/>
        <item x="115"/>
        <item x="19"/>
        <item x="73"/>
        <item x="38"/>
        <item x="59"/>
        <item x="48"/>
        <item x="57"/>
        <item x="45"/>
        <item x="110"/>
        <item x="168"/>
        <item x="56"/>
        <item x="170"/>
        <item x="54"/>
        <item x="12"/>
        <item x="91"/>
        <item x="95"/>
        <item x="72"/>
        <item x="152"/>
        <item x="125"/>
        <item x="97"/>
        <item x="62"/>
        <item x="22"/>
        <item x="63"/>
        <item x="118"/>
        <item x="101"/>
        <item x="136"/>
        <item x="1"/>
        <item x="86"/>
        <item x="7"/>
        <item x="21"/>
        <item x="114"/>
        <item x="178"/>
        <item x="55"/>
        <item x="64"/>
        <item x="112"/>
        <item x="43"/>
        <item x="92"/>
        <item x="109"/>
        <item x="182"/>
        <item x="33"/>
        <item x="83"/>
        <item x="121"/>
        <item x="98"/>
        <item x="41"/>
        <item x="129"/>
        <item x="127"/>
        <item x="126"/>
        <item x="151"/>
        <item x="39"/>
        <item x="60"/>
        <item x="47"/>
        <item x="150"/>
        <item x="53"/>
        <item x="93"/>
        <item x="122"/>
        <item x="96"/>
        <item x="99"/>
        <item x="25"/>
        <item x="131"/>
        <item x="94"/>
        <item x="149"/>
        <item x="169"/>
        <item x="162"/>
        <item x="147"/>
        <item x="130"/>
        <item x="9"/>
        <item x="84"/>
        <item x="15"/>
        <item x="165"/>
        <item x="77"/>
        <item x="176"/>
        <item x="76"/>
        <item x="161"/>
        <item x="10"/>
        <item x="135"/>
        <item x="88"/>
        <item x="67"/>
        <item x="46"/>
        <item x="50"/>
        <item x="156"/>
        <item x="44"/>
        <item x="74"/>
        <item x="16"/>
        <item x="20"/>
        <item x="171"/>
        <item x="28"/>
        <item x="18"/>
        <item x="139"/>
        <item x="71"/>
        <item x="186"/>
        <item x="153"/>
        <item x="30"/>
        <item x="146"/>
        <item x="120"/>
        <item x="163"/>
        <item x="51"/>
        <item x="70"/>
        <item x="185"/>
        <item x="89"/>
        <item x="35"/>
        <item x="104"/>
        <item x="137"/>
        <item x="107"/>
        <item x="26"/>
        <item x="158"/>
        <item x="164"/>
        <item x="123"/>
        <item x="8"/>
        <item x="42"/>
        <item x="31"/>
        <item x="103"/>
        <item x="180"/>
        <item x="119"/>
        <item x="184"/>
        <item x="66"/>
        <item x="117"/>
        <item x="105"/>
        <item x="4"/>
        <item x="132"/>
        <item x="179"/>
        <item x="145"/>
        <item x="116"/>
        <item x="32"/>
        <item x="134"/>
        <item x="82"/>
        <item x="175"/>
        <item x="2"/>
        <item x="159"/>
        <item x="6"/>
        <item x="174"/>
        <item x="157"/>
        <item x="37"/>
        <item x="155"/>
        <item x="90"/>
        <item x="27"/>
        <item x="154"/>
        <item x="166"/>
        <item x="85"/>
        <item x="61"/>
        <item x="177"/>
        <item x="167"/>
        <item x="65"/>
        <item x="81"/>
        <item x="172"/>
        <item x="40"/>
        <item x="181"/>
        <item x="52"/>
        <item x="133"/>
        <item x="58"/>
        <item x="87"/>
        <item x="111"/>
        <item x="138"/>
        <item x="13"/>
        <item x="124"/>
        <item x="23"/>
        <item x="128"/>
        <item x="80"/>
        <item x="173"/>
        <item x="79"/>
        <item x="36"/>
        <item x="34"/>
        <item x="0"/>
        <item t="default"/>
      </items>
    </pivotField>
    <pivotField showAll="0"/>
    <pivotField numFmtId="164" showAll="0">
      <items count="58">
        <item x="27"/>
        <item x="35"/>
        <item x="48"/>
        <item x="43"/>
        <item x="51"/>
        <item x="53"/>
        <item x="50"/>
        <item x="8"/>
        <item x="24"/>
        <item x="54"/>
        <item x="39"/>
        <item x="42"/>
        <item x="14"/>
        <item x="34"/>
        <item x="40"/>
        <item x="11"/>
        <item x="41"/>
        <item x="0"/>
        <item x="2"/>
        <item x="21"/>
        <item x="30"/>
        <item x="9"/>
        <item x="33"/>
        <item x="7"/>
        <item x="3"/>
        <item x="6"/>
        <item x="38"/>
        <item x="19"/>
        <item x="17"/>
        <item x="47"/>
        <item x="12"/>
        <item x="1"/>
        <item x="18"/>
        <item x="29"/>
        <item x="36"/>
        <item x="5"/>
        <item x="25"/>
        <item x="10"/>
        <item x="16"/>
        <item x="13"/>
        <item x="31"/>
        <item x="26"/>
        <item x="23"/>
        <item x="4"/>
        <item x="32"/>
        <item x="15"/>
        <item x="44"/>
        <item x="37"/>
        <item x="20"/>
        <item x="22"/>
        <item x="46"/>
        <item x="55"/>
        <item x="52"/>
        <item x="49"/>
        <item x="56"/>
        <item x="28"/>
        <item x="45"/>
        <item t="default"/>
      </items>
    </pivotField>
    <pivotField numFmtId="10" showAll="0"/>
    <pivotField numFmtId="9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11">
    <i>
      <x v="23"/>
    </i>
    <i>
      <x v="34"/>
    </i>
    <i>
      <x v="78"/>
    </i>
    <i>
      <x v="80"/>
    </i>
    <i>
      <x v="110"/>
    </i>
    <i>
      <x v="132"/>
    </i>
    <i>
      <x v="138"/>
    </i>
    <i>
      <x v="154"/>
    </i>
    <i>
      <x v="176"/>
    </i>
    <i>
      <x v="17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nfirmed" fld="1" baseField="0" baseItem="0"/>
    <dataField name="Sum of Recovered" fld="3" baseField="0" baseItem="0"/>
  </dataFields>
  <formats count="6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0" type="button" dataOnly="0" labelOnly="1" outline="0" axis="axisRow" fieldPosition="0"/>
    </format>
    <format dxfId="45">
      <pivotArea dataOnly="0" labelOnly="1" fieldPosition="0">
        <references count="1">
          <reference field="0" count="10">
            <x v="23"/>
            <x v="34"/>
            <x v="78"/>
            <x v="80"/>
            <x v="110"/>
            <x v="132"/>
            <x v="138"/>
            <x v="154"/>
            <x v="176"/>
            <x v="178"/>
          </reference>
        </references>
      </pivotArea>
    </format>
    <format dxfId="44">
      <pivotArea dataOnly="0" labelOnly="1" grandRow="1" outline="0" fieldPosition="0"/>
    </format>
    <format dxfId="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6F7CE4-70CC-422F-8BB7-9267309437F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10" firstHeaderRow="1" firstDataRow="1" firstDataCol="1"/>
  <pivotFields count="16">
    <pivotField showAll="0"/>
    <pivotField dataField="1" showAll="0">
      <items count="185">
        <item x="180"/>
        <item x="75"/>
        <item x="68"/>
        <item x="139"/>
        <item x="49"/>
        <item x="94"/>
        <item x="69"/>
        <item x="140"/>
        <item x="59"/>
        <item x="17"/>
        <item x="141"/>
        <item x="129"/>
        <item x="5"/>
        <item x="19"/>
        <item x="14"/>
        <item x="147"/>
        <item x="112"/>
        <item x="24"/>
        <item x="168"/>
        <item x="30"/>
        <item x="55"/>
        <item x="113"/>
        <item x="63"/>
        <item x="109"/>
        <item x="27"/>
        <item x="38"/>
        <item x="28"/>
        <item x="11"/>
        <item x="73"/>
        <item x="179"/>
        <item x="163"/>
        <item x="97"/>
        <item x="165"/>
        <item x="162"/>
        <item x="142"/>
        <item x="107"/>
        <item x="22"/>
        <item x="86"/>
        <item x="143"/>
        <item x="167"/>
        <item x="3"/>
        <item x="34"/>
        <item x="4"/>
        <item x="45"/>
        <item x="26"/>
        <item x="172"/>
        <item x="122"/>
        <item x="64"/>
        <item x="98"/>
        <item x="88"/>
        <item x="176"/>
        <item x="95"/>
        <item x="169"/>
        <item x="159"/>
        <item x="120"/>
        <item x="181"/>
        <item x="116"/>
        <item x="18"/>
        <item x="148"/>
        <item x="117"/>
        <item x="78"/>
        <item x="138"/>
        <item x="72"/>
        <item x="100"/>
        <item x="56"/>
        <item x="151"/>
        <item x="150"/>
        <item x="155"/>
        <item x="57"/>
        <item x="29"/>
        <item x="106"/>
        <item x="44"/>
        <item x="183"/>
        <item x="157"/>
        <item x="99"/>
        <item x="114"/>
        <item x="54"/>
        <item x="152"/>
        <item x="39"/>
        <item x="166"/>
        <item x="105"/>
        <item x="121"/>
        <item x="103"/>
        <item x="96"/>
        <item x="67"/>
        <item x="77"/>
        <item x="130"/>
        <item x="182"/>
        <item x="33"/>
        <item x="1"/>
        <item x="43"/>
        <item x="48"/>
        <item x="108"/>
        <item x="101"/>
        <item x="71"/>
        <item x="62"/>
        <item x="164"/>
        <item x="74"/>
        <item x="60"/>
        <item x="91"/>
        <item x="40"/>
        <item x="104"/>
        <item x="125"/>
        <item x="102"/>
        <item x="145"/>
        <item x="124"/>
        <item x="21"/>
        <item x="25"/>
        <item x="158"/>
        <item x="47"/>
        <item x="154"/>
        <item x="58"/>
        <item x="53"/>
        <item x="8"/>
        <item x="46"/>
        <item x="42"/>
        <item x="41"/>
        <item x="178"/>
        <item x="31"/>
        <item x="90"/>
        <item x="118"/>
        <item x="9"/>
        <item x="115"/>
        <item x="177"/>
        <item x="111"/>
        <item x="146"/>
        <item x="83"/>
        <item x="2"/>
        <item x="10"/>
        <item x="87"/>
        <item x="93"/>
        <item x="66"/>
        <item x="161"/>
        <item x="7"/>
        <item x="12"/>
        <item x="76"/>
        <item x="123"/>
        <item x="133"/>
        <item x="70"/>
        <item x="136"/>
        <item x="134"/>
        <item x="149"/>
        <item x="119"/>
        <item x="174"/>
        <item x="128"/>
        <item x="84"/>
        <item x="50"/>
        <item x="92"/>
        <item x="16"/>
        <item x="173"/>
        <item x="15"/>
        <item x="20"/>
        <item x="126"/>
        <item x="160"/>
        <item x="51"/>
        <item x="132"/>
        <item x="89"/>
        <item x="36"/>
        <item x="52"/>
        <item x="80"/>
        <item x="135"/>
        <item x="82"/>
        <item x="32"/>
        <item x="6"/>
        <item x="65"/>
        <item x="61"/>
        <item x="13"/>
        <item x="170"/>
        <item x="85"/>
        <item x="37"/>
        <item x="144"/>
        <item x="156"/>
        <item x="127"/>
        <item x="81"/>
        <item x="175"/>
        <item x="35"/>
        <item x="131"/>
        <item x="110"/>
        <item x="153"/>
        <item x="137"/>
        <item x="79"/>
        <item x="23"/>
        <item x="171"/>
        <item x="0"/>
        <item t="default"/>
      </items>
    </pivotField>
    <pivotField showAll="0"/>
    <pivotField showAll="0"/>
    <pivotField showAll="0"/>
    <pivotField showAll="0"/>
    <pivotField axis="axisRow" showAll="0">
      <items count="7">
        <item x="2"/>
        <item x="0"/>
        <item x="5"/>
        <item x="1"/>
        <item x="3"/>
        <item x="4"/>
        <item t="default"/>
      </items>
    </pivotField>
    <pivotField numFmtId="164" showAll="0">
      <items count="58">
        <item x="27"/>
        <item x="35"/>
        <item x="48"/>
        <item x="43"/>
        <item x="51"/>
        <item x="53"/>
        <item x="50"/>
        <item x="8"/>
        <item x="24"/>
        <item x="54"/>
        <item x="39"/>
        <item x="42"/>
        <item x="14"/>
        <item x="34"/>
        <item x="40"/>
        <item x="11"/>
        <item x="41"/>
        <item x="0"/>
        <item x="2"/>
        <item x="21"/>
        <item x="30"/>
        <item x="9"/>
        <item x="33"/>
        <item x="7"/>
        <item x="3"/>
        <item x="6"/>
        <item x="38"/>
        <item x="19"/>
        <item x="17"/>
        <item x="47"/>
        <item x="12"/>
        <item x="1"/>
        <item x="18"/>
        <item x="29"/>
        <item x="36"/>
        <item x="5"/>
        <item x="25"/>
        <item x="10"/>
        <item x="16"/>
        <item x="13"/>
        <item x="31"/>
        <item x="26"/>
        <item x="23"/>
        <item x="4"/>
        <item x="32"/>
        <item x="15"/>
        <item x="44"/>
        <item x="37"/>
        <item x="20"/>
        <item x="22"/>
        <item x="46"/>
        <item x="55"/>
        <item x="52"/>
        <item x="49"/>
        <item x="56"/>
        <item x="28"/>
        <item x="45"/>
        <item t="default"/>
      </items>
    </pivotField>
    <pivotField numFmtId="10" showAll="0"/>
    <pivotField numFmtId="9"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onfirmed" fld="1" subtotal="count" baseField="0" baseItem="0"/>
  </dataFields>
  <formats count="12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6" type="button" dataOnly="0" labelOnly="1" outline="0" axis="axisRow" fieldPosition="0"/>
    </format>
    <format dxfId="39">
      <pivotArea dataOnly="0" labelOnly="1" fieldPosition="0">
        <references count="1">
          <reference field="6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6" type="button" dataOnly="0" labelOnly="1" outline="0" axis="axisRow" fieldPosition="0"/>
    </format>
    <format dxfId="33">
      <pivotArea dataOnly="0" labelOnly="1" fieldPosition="0">
        <references count="1">
          <reference field="6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</formats>
  <chartFormats count="7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6153BE-EB7E-4D9F-9B5A-E9C24F8F526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11" firstHeaderRow="1" firstDataRow="1" firstDataCol="1"/>
  <pivotFields count="16">
    <pivotField showAll="0"/>
    <pivotField dataField="1" showAll="0">
      <items count="185">
        <item x="180"/>
        <item x="75"/>
        <item x="68"/>
        <item x="139"/>
        <item x="49"/>
        <item x="94"/>
        <item x="69"/>
        <item x="140"/>
        <item x="59"/>
        <item x="17"/>
        <item x="141"/>
        <item x="129"/>
        <item x="5"/>
        <item x="19"/>
        <item x="14"/>
        <item x="147"/>
        <item x="112"/>
        <item x="24"/>
        <item x="168"/>
        <item x="30"/>
        <item x="55"/>
        <item x="113"/>
        <item x="63"/>
        <item x="109"/>
        <item x="27"/>
        <item x="38"/>
        <item x="28"/>
        <item x="11"/>
        <item x="73"/>
        <item x="179"/>
        <item x="163"/>
        <item x="97"/>
        <item x="165"/>
        <item x="162"/>
        <item x="142"/>
        <item x="107"/>
        <item x="22"/>
        <item x="86"/>
        <item x="143"/>
        <item x="167"/>
        <item x="3"/>
        <item x="34"/>
        <item x="4"/>
        <item x="45"/>
        <item x="26"/>
        <item x="172"/>
        <item x="122"/>
        <item x="64"/>
        <item x="98"/>
        <item x="88"/>
        <item x="176"/>
        <item x="95"/>
        <item x="169"/>
        <item x="159"/>
        <item x="120"/>
        <item x="181"/>
        <item x="116"/>
        <item x="18"/>
        <item x="148"/>
        <item x="117"/>
        <item x="78"/>
        <item x="138"/>
        <item x="72"/>
        <item x="100"/>
        <item x="56"/>
        <item x="151"/>
        <item x="150"/>
        <item x="155"/>
        <item x="57"/>
        <item x="29"/>
        <item x="106"/>
        <item x="44"/>
        <item x="183"/>
        <item x="157"/>
        <item x="99"/>
        <item x="114"/>
        <item x="54"/>
        <item x="152"/>
        <item x="39"/>
        <item x="166"/>
        <item x="105"/>
        <item x="121"/>
        <item x="103"/>
        <item x="96"/>
        <item x="67"/>
        <item x="77"/>
        <item x="130"/>
        <item x="182"/>
        <item x="33"/>
        <item x="1"/>
        <item x="43"/>
        <item x="48"/>
        <item x="108"/>
        <item x="101"/>
        <item x="71"/>
        <item x="62"/>
        <item x="164"/>
        <item x="74"/>
        <item x="60"/>
        <item x="91"/>
        <item x="40"/>
        <item x="104"/>
        <item x="125"/>
        <item x="102"/>
        <item x="145"/>
        <item x="124"/>
        <item x="21"/>
        <item x="25"/>
        <item x="158"/>
        <item x="47"/>
        <item x="154"/>
        <item x="58"/>
        <item x="53"/>
        <item x="8"/>
        <item x="46"/>
        <item x="42"/>
        <item x="41"/>
        <item x="178"/>
        <item x="31"/>
        <item x="90"/>
        <item x="118"/>
        <item x="9"/>
        <item x="115"/>
        <item x="177"/>
        <item x="111"/>
        <item x="146"/>
        <item x="83"/>
        <item x="2"/>
        <item x="10"/>
        <item x="87"/>
        <item x="93"/>
        <item x="66"/>
        <item x="161"/>
        <item x="7"/>
        <item x="12"/>
        <item x="76"/>
        <item x="123"/>
        <item x="133"/>
        <item x="70"/>
        <item x="136"/>
        <item x="134"/>
        <item x="149"/>
        <item x="119"/>
        <item x="174"/>
        <item x="128"/>
        <item x="84"/>
        <item x="50"/>
        <item x="92"/>
        <item x="16"/>
        <item x="173"/>
        <item x="15"/>
        <item x="20"/>
        <item x="126"/>
        <item x="160"/>
        <item x="51"/>
        <item x="132"/>
        <item x="89"/>
        <item x="36"/>
        <item x="52"/>
        <item x="80"/>
        <item x="135"/>
        <item x="82"/>
        <item x="32"/>
        <item x="6"/>
        <item x="65"/>
        <item x="61"/>
        <item x="13"/>
        <item x="170"/>
        <item x="85"/>
        <item x="37"/>
        <item x="144"/>
        <item x="156"/>
        <item x="127"/>
        <item x="81"/>
        <item x="175"/>
        <item x="35"/>
        <item x="131"/>
        <item x="110"/>
        <item x="153"/>
        <item x="137"/>
        <item x="79"/>
        <item x="23"/>
        <item x="171"/>
        <item x="0"/>
        <item t="default"/>
      </items>
    </pivotField>
    <pivotField showAll="0"/>
    <pivotField showAll="0"/>
    <pivotField showAll="0"/>
    <pivotField showAll="0"/>
    <pivotField showAll="0"/>
    <pivotField numFmtId="164" showAll="0">
      <items count="58">
        <item x="27"/>
        <item x="35"/>
        <item x="48"/>
        <item x="43"/>
        <item x="51"/>
        <item x="53"/>
        <item x="50"/>
        <item x="8"/>
        <item x="24"/>
        <item x="54"/>
        <item x="39"/>
        <item x="42"/>
        <item x="14"/>
        <item x="34"/>
        <item x="40"/>
        <item x="11"/>
        <item x="41"/>
        <item x="0"/>
        <item x="2"/>
        <item x="21"/>
        <item x="30"/>
        <item x="9"/>
        <item x="33"/>
        <item x="7"/>
        <item x="3"/>
        <item x="6"/>
        <item x="38"/>
        <item x="19"/>
        <item x="17"/>
        <item x="47"/>
        <item x="12"/>
        <item x="1"/>
        <item x="18"/>
        <item x="29"/>
        <item x="36"/>
        <item x="5"/>
        <item x="25"/>
        <item x="10"/>
        <item x="16"/>
        <item x="13"/>
        <item x="31"/>
        <item x="26"/>
        <item x="23"/>
        <item x="4"/>
        <item x="32"/>
        <item x="15"/>
        <item x="44"/>
        <item x="37"/>
        <item x="20"/>
        <item x="22"/>
        <item x="46"/>
        <item x="55"/>
        <item x="52"/>
        <item x="49"/>
        <item x="56"/>
        <item x="28"/>
        <item x="45"/>
        <item t="default"/>
      </items>
    </pivotField>
    <pivotField numFmtId="10" showAll="0"/>
    <pivotField numFmtId="9"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13"/>
  </rowFields>
  <rowItems count="8">
    <i>
      <x v="1"/>
    </i>
    <i>
      <x v="2"/>
    </i>
    <i>
      <x v="3"/>
    </i>
    <i>
      <x v="4"/>
    </i>
    <i>
      <x v="5"/>
    </i>
    <i>
      <x v="11"/>
    </i>
    <i>
      <x v="12"/>
    </i>
    <i t="grand">
      <x/>
    </i>
  </rowItems>
  <colItems count="1">
    <i/>
  </colItems>
  <dataFields count="1">
    <dataField name="Count of Confirmed" fld="1" subtotal="count" baseField="0" baseItem="0"/>
  </dataFields>
  <formats count="12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3" type="button" dataOnly="0" labelOnly="1" outline="0" axis="axisRow" fieldPosition="0"/>
    </format>
    <format dxfId="27">
      <pivotArea dataOnly="0" labelOnly="1" fieldPosition="0">
        <references count="1">
          <reference field="13" count="7">
            <x v="1"/>
            <x v="2"/>
            <x v="3"/>
            <x v="4"/>
            <x v="5"/>
            <x v="11"/>
            <x v="12"/>
          </reference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3" type="button" dataOnly="0" labelOnly="1" outline="0" axis="axisRow" fieldPosition="0"/>
    </format>
    <format dxfId="21">
      <pivotArea dataOnly="0" labelOnly="1" fieldPosition="0">
        <references count="1">
          <reference field="13" count="7">
            <x v="1"/>
            <x v="2"/>
            <x v="3"/>
            <x v="4"/>
            <x v="5"/>
            <x v="11"/>
            <x v="12"/>
          </reference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24E76-DEC4-4C58-BF63-59422D416A5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C11" firstHeaderRow="0" firstDataRow="1" firstDataCol="1"/>
  <pivotFields count="16">
    <pivotField showAll="0"/>
    <pivotField dataField="1" showAll="0" measureFilter="1">
      <items count="185">
        <item x="180"/>
        <item x="75"/>
        <item x="68"/>
        <item x="139"/>
        <item x="49"/>
        <item x="94"/>
        <item x="69"/>
        <item x="140"/>
        <item x="59"/>
        <item x="17"/>
        <item x="141"/>
        <item x="129"/>
        <item x="5"/>
        <item x="19"/>
        <item x="14"/>
        <item x="147"/>
        <item x="112"/>
        <item x="24"/>
        <item x="168"/>
        <item x="30"/>
        <item x="55"/>
        <item x="113"/>
        <item x="63"/>
        <item x="109"/>
        <item x="27"/>
        <item x="38"/>
        <item x="28"/>
        <item x="11"/>
        <item x="73"/>
        <item x="179"/>
        <item x="163"/>
        <item x="97"/>
        <item x="165"/>
        <item x="162"/>
        <item x="142"/>
        <item x="107"/>
        <item x="22"/>
        <item x="86"/>
        <item x="143"/>
        <item x="167"/>
        <item x="3"/>
        <item x="34"/>
        <item x="4"/>
        <item x="45"/>
        <item x="26"/>
        <item x="172"/>
        <item x="122"/>
        <item x="64"/>
        <item x="98"/>
        <item x="88"/>
        <item x="176"/>
        <item x="95"/>
        <item x="169"/>
        <item x="159"/>
        <item x="120"/>
        <item x="181"/>
        <item x="116"/>
        <item x="18"/>
        <item x="148"/>
        <item x="117"/>
        <item x="78"/>
        <item x="138"/>
        <item x="72"/>
        <item x="100"/>
        <item x="56"/>
        <item x="151"/>
        <item x="150"/>
        <item x="155"/>
        <item x="57"/>
        <item x="29"/>
        <item x="106"/>
        <item x="44"/>
        <item x="183"/>
        <item x="157"/>
        <item x="99"/>
        <item x="114"/>
        <item x="54"/>
        <item x="152"/>
        <item x="39"/>
        <item x="166"/>
        <item x="105"/>
        <item x="121"/>
        <item x="103"/>
        <item x="96"/>
        <item x="67"/>
        <item x="77"/>
        <item x="130"/>
        <item x="182"/>
        <item x="33"/>
        <item x="1"/>
        <item x="43"/>
        <item x="48"/>
        <item x="108"/>
        <item x="101"/>
        <item x="71"/>
        <item x="62"/>
        <item x="164"/>
        <item x="74"/>
        <item x="60"/>
        <item x="91"/>
        <item x="40"/>
        <item x="104"/>
        <item x="125"/>
        <item x="102"/>
        <item x="145"/>
        <item x="124"/>
        <item x="21"/>
        <item x="25"/>
        <item x="158"/>
        <item x="47"/>
        <item x="154"/>
        <item x="58"/>
        <item x="53"/>
        <item x="8"/>
        <item x="46"/>
        <item x="42"/>
        <item x="41"/>
        <item x="178"/>
        <item x="31"/>
        <item x="90"/>
        <item x="118"/>
        <item x="9"/>
        <item x="115"/>
        <item x="177"/>
        <item x="111"/>
        <item x="146"/>
        <item x="83"/>
        <item x="2"/>
        <item x="10"/>
        <item x="87"/>
        <item x="93"/>
        <item x="66"/>
        <item x="161"/>
        <item x="7"/>
        <item x="12"/>
        <item x="76"/>
        <item x="123"/>
        <item x="133"/>
        <item x="70"/>
        <item x="136"/>
        <item x="134"/>
        <item x="149"/>
        <item x="119"/>
        <item x="174"/>
        <item x="128"/>
        <item x="84"/>
        <item x="50"/>
        <item x="92"/>
        <item x="16"/>
        <item x="173"/>
        <item x="15"/>
        <item x="20"/>
        <item x="126"/>
        <item x="160"/>
        <item x="51"/>
        <item x="132"/>
        <item x="89"/>
        <item x="36"/>
        <item x="52"/>
        <item x="80"/>
        <item x="135"/>
        <item x="82"/>
        <item x="32"/>
        <item x="6"/>
        <item x="65"/>
        <item x="61"/>
        <item x="13"/>
        <item x="170"/>
        <item x="85"/>
        <item x="37"/>
        <item x="144"/>
        <item x="156"/>
        <item x="127"/>
        <item x="81"/>
        <item x="175"/>
        <item x="35"/>
        <item x="131"/>
        <item x="110"/>
        <item x="153"/>
        <item x="137"/>
        <item x="79"/>
        <item x="23"/>
        <item x="171"/>
        <item x="0"/>
        <item t="default"/>
      </items>
    </pivotField>
    <pivotField showAll="0"/>
    <pivotField showAll="0"/>
    <pivotField showAll="0"/>
    <pivotField showAll="0"/>
    <pivotField showAll="0"/>
    <pivotField numFmtId="164" showAll="0">
      <items count="58">
        <item x="27"/>
        <item x="35"/>
        <item x="48"/>
        <item x="43"/>
        <item x="51"/>
        <item x="53"/>
        <item x="50"/>
        <item x="8"/>
        <item x="24"/>
        <item x="54"/>
        <item x="39"/>
        <item x="42"/>
        <item x="14"/>
        <item x="34"/>
        <item x="40"/>
        <item x="11"/>
        <item x="41"/>
        <item x="0"/>
        <item x="2"/>
        <item x="21"/>
        <item x="30"/>
        <item x="9"/>
        <item x="33"/>
        <item x="7"/>
        <item x="3"/>
        <item x="6"/>
        <item x="38"/>
        <item x="19"/>
        <item x="17"/>
        <item x="47"/>
        <item x="12"/>
        <item x="1"/>
        <item x="18"/>
        <item x="29"/>
        <item x="36"/>
        <item x="5"/>
        <item x="25"/>
        <item x="10"/>
        <item x="16"/>
        <item x="13"/>
        <item x="31"/>
        <item x="26"/>
        <item x="23"/>
        <item x="4"/>
        <item x="32"/>
        <item x="15"/>
        <item x="44"/>
        <item x="37"/>
        <item x="20"/>
        <item x="22"/>
        <item x="46"/>
        <item x="55"/>
        <item x="52"/>
        <item x="49"/>
        <item x="56"/>
        <item x="28"/>
        <item x="45"/>
        <item t="default"/>
      </items>
    </pivotField>
    <pivotField dataField="1" numFmtId="10" showAll="0"/>
    <pivotField numFmtId="9"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13"/>
  </rowFields>
  <rowItems count="8">
    <i>
      <x v="1"/>
    </i>
    <i>
      <x v="2"/>
    </i>
    <i>
      <x v="3"/>
    </i>
    <i>
      <x v="4"/>
    </i>
    <i>
      <x v="5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onfirmed" fld="1" subtotal="count" baseField="0" baseItem="0"/>
    <dataField name="Average of Death rate%" fld="8" subtotal="average" baseField="0" baseItem="0"/>
  </dataFields>
  <formats count="14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3" type="button" dataOnly="0" labelOnly="1" outline="0" axis="axisRow" fieldPosition="0"/>
    </format>
    <format dxfId="15">
      <pivotArea dataOnly="0" labelOnly="1" fieldPosition="0">
        <references count="1">
          <reference field="13" count="7">
            <x v="1"/>
            <x v="2"/>
            <x v="3"/>
            <x v="4"/>
            <x v="5"/>
            <x v="11"/>
            <x v="12"/>
          </reference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1"/>
          </reference>
          <reference field="13" count="7">
            <x v="1"/>
            <x v="2"/>
            <x v="3"/>
            <x v="4"/>
            <x v="5"/>
            <x v="11"/>
            <x v="12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13" type="button" dataOnly="0" labelOnly="1" outline="0" axis="axisRow" fieldPosition="0"/>
    </format>
    <format dxfId="7">
      <pivotArea dataOnly="0" labelOnly="1" fieldPosition="0">
        <references count="1">
          <reference field="13" count="7">
            <x v="1"/>
            <x v="2"/>
            <x v="3"/>
            <x v="4"/>
            <x v="5"/>
            <x v="11"/>
            <x v="12"/>
          </reference>
        </references>
      </pivotArea>
    </format>
    <format dxfId="6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1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C9850-7A07-4614-B56C-8601ABD2161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14" firstHeaderRow="1" firstDataRow="1" firstDataCol="1"/>
  <pivotFields count="16">
    <pivotField showAll="0"/>
    <pivotField dataField="1" showAll="0">
      <items count="185">
        <item x="180"/>
        <item x="75"/>
        <item x="68"/>
        <item x="139"/>
        <item x="49"/>
        <item x="94"/>
        <item x="69"/>
        <item x="140"/>
        <item x="59"/>
        <item x="17"/>
        <item x="141"/>
        <item x="129"/>
        <item x="5"/>
        <item x="19"/>
        <item x="14"/>
        <item x="147"/>
        <item x="112"/>
        <item x="24"/>
        <item x="168"/>
        <item x="30"/>
        <item x="55"/>
        <item x="113"/>
        <item x="63"/>
        <item x="109"/>
        <item x="27"/>
        <item x="38"/>
        <item x="28"/>
        <item x="11"/>
        <item x="73"/>
        <item x="179"/>
        <item x="163"/>
        <item x="97"/>
        <item x="165"/>
        <item x="162"/>
        <item x="142"/>
        <item x="107"/>
        <item x="22"/>
        <item x="86"/>
        <item x="143"/>
        <item x="167"/>
        <item x="3"/>
        <item x="34"/>
        <item x="4"/>
        <item x="45"/>
        <item x="26"/>
        <item x="172"/>
        <item x="122"/>
        <item x="64"/>
        <item x="98"/>
        <item x="88"/>
        <item x="176"/>
        <item x="95"/>
        <item x="169"/>
        <item x="159"/>
        <item x="120"/>
        <item x="181"/>
        <item x="116"/>
        <item x="18"/>
        <item x="148"/>
        <item x="117"/>
        <item x="78"/>
        <item x="138"/>
        <item x="72"/>
        <item x="100"/>
        <item x="56"/>
        <item x="151"/>
        <item x="150"/>
        <item x="155"/>
        <item x="57"/>
        <item x="29"/>
        <item x="106"/>
        <item x="44"/>
        <item x="183"/>
        <item x="157"/>
        <item x="99"/>
        <item x="114"/>
        <item x="54"/>
        <item x="152"/>
        <item x="39"/>
        <item x="166"/>
        <item x="105"/>
        <item x="121"/>
        <item x="103"/>
        <item x="96"/>
        <item x="67"/>
        <item x="77"/>
        <item x="130"/>
        <item x="182"/>
        <item x="33"/>
        <item x="1"/>
        <item x="43"/>
        <item x="48"/>
        <item x="108"/>
        <item x="101"/>
        <item x="71"/>
        <item x="62"/>
        <item x="164"/>
        <item x="74"/>
        <item x="60"/>
        <item x="91"/>
        <item x="40"/>
        <item x="104"/>
        <item x="125"/>
        <item x="102"/>
        <item x="145"/>
        <item x="124"/>
        <item x="21"/>
        <item x="25"/>
        <item x="158"/>
        <item x="47"/>
        <item x="154"/>
        <item x="58"/>
        <item x="53"/>
        <item x="8"/>
        <item x="46"/>
        <item x="42"/>
        <item x="41"/>
        <item x="178"/>
        <item x="31"/>
        <item x="90"/>
        <item x="118"/>
        <item x="9"/>
        <item x="115"/>
        <item x="177"/>
        <item x="111"/>
        <item x="146"/>
        <item x="83"/>
        <item x="2"/>
        <item x="10"/>
        <item x="87"/>
        <item x="93"/>
        <item x="66"/>
        <item x="161"/>
        <item x="7"/>
        <item x="12"/>
        <item x="76"/>
        <item x="123"/>
        <item x="133"/>
        <item x="70"/>
        <item x="136"/>
        <item x="134"/>
        <item x="149"/>
        <item x="119"/>
        <item x="174"/>
        <item x="128"/>
        <item x="84"/>
        <item x="50"/>
        <item x="92"/>
        <item x="16"/>
        <item x="173"/>
        <item x="15"/>
        <item x="20"/>
        <item x="126"/>
        <item x="160"/>
        <item x="51"/>
        <item x="132"/>
        <item x="89"/>
        <item x="36"/>
        <item x="52"/>
        <item x="80"/>
        <item x="135"/>
        <item x="82"/>
        <item x="32"/>
        <item x="6"/>
        <item x="65"/>
        <item x="61"/>
        <item x="13"/>
        <item x="170"/>
        <item x="85"/>
        <item x="37"/>
        <item x="144"/>
        <item x="156"/>
        <item x="127"/>
        <item x="81"/>
        <item x="175"/>
        <item x="35"/>
        <item x="131"/>
        <item x="110"/>
        <item x="153"/>
        <item x="137"/>
        <item x="79"/>
        <item x="23"/>
        <item x="171"/>
        <item x="0"/>
        <item t="default"/>
      </items>
    </pivotField>
    <pivotField showAll="0"/>
    <pivotField showAll="0"/>
    <pivotField showAll="0"/>
    <pivotField axis="axisRow" showAll="0" measureFilter="1">
      <items count="188">
        <item x="75"/>
        <item x="143"/>
        <item x="100"/>
        <item x="113"/>
        <item x="140"/>
        <item x="68"/>
        <item x="49"/>
        <item x="3"/>
        <item x="5"/>
        <item x="148"/>
        <item x="142"/>
        <item x="69"/>
        <item x="141"/>
        <item x="144"/>
        <item x="14"/>
        <item x="78"/>
        <item x="11"/>
        <item x="17"/>
        <item x="24"/>
        <item x="108"/>
        <item x="106"/>
        <item x="29"/>
        <item x="160"/>
        <item x="183"/>
        <item x="102"/>
        <item x="115"/>
        <item x="19"/>
        <item x="73"/>
        <item x="38"/>
        <item x="59"/>
        <item x="48"/>
        <item x="57"/>
        <item x="45"/>
        <item x="110"/>
        <item x="168"/>
        <item x="56"/>
        <item x="170"/>
        <item x="54"/>
        <item x="12"/>
        <item x="91"/>
        <item x="95"/>
        <item x="72"/>
        <item x="152"/>
        <item x="125"/>
        <item x="97"/>
        <item x="62"/>
        <item x="22"/>
        <item x="63"/>
        <item x="118"/>
        <item x="101"/>
        <item x="136"/>
        <item x="1"/>
        <item x="86"/>
        <item x="7"/>
        <item x="21"/>
        <item x="114"/>
        <item x="178"/>
        <item x="55"/>
        <item x="64"/>
        <item x="112"/>
        <item x="43"/>
        <item x="92"/>
        <item x="109"/>
        <item x="182"/>
        <item x="33"/>
        <item x="83"/>
        <item x="121"/>
        <item x="98"/>
        <item x="41"/>
        <item x="129"/>
        <item x="127"/>
        <item x="126"/>
        <item x="151"/>
        <item x="39"/>
        <item x="60"/>
        <item x="47"/>
        <item x="150"/>
        <item x="53"/>
        <item x="93"/>
        <item x="122"/>
        <item x="96"/>
        <item x="99"/>
        <item x="25"/>
        <item x="131"/>
        <item x="94"/>
        <item x="149"/>
        <item x="169"/>
        <item x="162"/>
        <item x="147"/>
        <item x="130"/>
        <item x="9"/>
        <item x="84"/>
        <item x="15"/>
        <item x="165"/>
        <item x="77"/>
        <item x="176"/>
        <item x="76"/>
        <item x="161"/>
        <item x="10"/>
        <item x="135"/>
        <item x="88"/>
        <item x="67"/>
        <item x="46"/>
        <item x="50"/>
        <item x="156"/>
        <item x="44"/>
        <item x="74"/>
        <item x="16"/>
        <item x="20"/>
        <item x="171"/>
        <item x="28"/>
        <item x="18"/>
        <item x="139"/>
        <item x="71"/>
        <item x="186"/>
        <item x="153"/>
        <item x="30"/>
        <item x="146"/>
        <item x="120"/>
        <item x="163"/>
        <item x="51"/>
        <item x="70"/>
        <item x="185"/>
        <item x="89"/>
        <item x="35"/>
        <item x="104"/>
        <item x="137"/>
        <item x="107"/>
        <item x="26"/>
        <item x="158"/>
        <item x="164"/>
        <item x="123"/>
        <item x="8"/>
        <item x="42"/>
        <item x="31"/>
        <item x="103"/>
        <item x="180"/>
        <item x="119"/>
        <item x="184"/>
        <item x="66"/>
        <item x="117"/>
        <item x="105"/>
        <item x="4"/>
        <item x="132"/>
        <item x="179"/>
        <item x="145"/>
        <item x="116"/>
        <item x="32"/>
        <item x="134"/>
        <item x="82"/>
        <item x="175"/>
        <item x="2"/>
        <item x="159"/>
        <item x="6"/>
        <item x="174"/>
        <item x="157"/>
        <item x="37"/>
        <item x="155"/>
        <item x="90"/>
        <item x="27"/>
        <item x="154"/>
        <item x="166"/>
        <item x="85"/>
        <item x="61"/>
        <item x="177"/>
        <item x="167"/>
        <item x="65"/>
        <item x="81"/>
        <item x="172"/>
        <item x="40"/>
        <item x="181"/>
        <item x="52"/>
        <item x="133"/>
        <item x="58"/>
        <item x="87"/>
        <item x="111"/>
        <item x="138"/>
        <item x="13"/>
        <item x="124"/>
        <item x="23"/>
        <item x="128"/>
        <item x="80"/>
        <item x="173"/>
        <item x="79"/>
        <item x="36"/>
        <item x="34"/>
        <item x="0"/>
        <item t="default"/>
      </items>
    </pivotField>
    <pivotField showAll="0"/>
    <pivotField numFmtId="164" showAll="0">
      <items count="58">
        <item x="27"/>
        <item x="35"/>
        <item x="48"/>
        <item x="43"/>
        <item x="51"/>
        <item x="53"/>
        <item x="50"/>
        <item x="8"/>
        <item x="24"/>
        <item x="54"/>
        <item x="39"/>
        <item x="42"/>
        <item x="14"/>
        <item x="34"/>
        <item x="40"/>
        <item x="11"/>
        <item x="41"/>
        <item x="0"/>
        <item x="2"/>
        <item x="21"/>
        <item x="30"/>
        <item x="9"/>
        <item x="33"/>
        <item x="7"/>
        <item x="3"/>
        <item x="6"/>
        <item x="38"/>
        <item x="19"/>
        <item x="17"/>
        <item x="47"/>
        <item x="12"/>
        <item x="1"/>
        <item x="18"/>
        <item x="29"/>
        <item x="36"/>
        <item x="5"/>
        <item x="25"/>
        <item x="10"/>
        <item x="16"/>
        <item x="13"/>
        <item x="31"/>
        <item x="26"/>
        <item x="23"/>
        <item x="4"/>
        <item x="32"/>
        <item x="15"/>
        <item x="44"/>
        <item x="37"/>
        <item x="20"/>
        <item x="22"/>
        <item x="46"/>
        <item x="55"/>
        <item x="52"/>
        <item x="49"/>
        <item x="56"/>
        <item x="28"/>
        <item x="45"/>
        <item t="default"/>
      </items>
    </pivotField>
    <pivotField numFmtId="10" showAll="0"/>
    <pivotField numFmtId="9"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11">
    <i>
      <x v="124"/>
    </i>
    <i>
      <x v="143"/>
    </i>
    <i>
      <x v="160"/>
    </i>
    <i>
      <x v="164"/>
    </i>
    <i>
      <x v="167"/>
    </i>
    <i>
      <x v="175"/>
    </i>
    <i>
      <x v="176"/>
    </i>
    <i>
      <x v="179"/>
    </i>
    <i>
      <x v="182"/>
    </i>
    <i>
      <x v="183"/>
    </i>
    <i t="grand">
      <x/>
    </i>
  </rowItems>
  <colItems count="1">
    <i/>
  </colItems>
  <dataFields count="1">
    <dataField name="Sum of Confirmed" fld="1" baseField="0" baseItem="0"/>
  </dataFields>
  <formats count="4">
    <format dxfId="4">
      <pivotArea collapsedLevelsAreSubtotals="1" fieldPosition="0">
        <references count="1">
          <reference field="5" count="10">
            <x v="124"/>
            <x v="143"/>
            <x v="160"/>
            <x v="164"/>
            <x v="167"/>
            <x v="175"/>
            <x v="176"/>
            <x v="179"/>
            <x v="182"/>
            <x v="183"/>
          </reference>
        </references>
      </pivotArea>
    </format>
    <format dxfId="3">
      <pivotArea field="5" type="button" dataOnly="0" labelOnly="1" outline="0" axis="axisRow" fieldPosition="0"/>
    </format>
    <format dxfId="2">
      <pivotArea dataOnly="0" labelOnly="1" fieldPosition="0">
        <references count="1">
          <reference field="5" count="10">
            <x v="124"/>
            <x v="143"/>
            <x v="160"/>
            <x v="164"/>
            <x v="167"/>
            <x v="175"/>
            <x v="176"/>
            <x v="179"/>
            <x v="182"/>
            <x v="183"/>
          </reference>
        </references>
      </pivotArea>
    </format>
    <format dxfId="1">
      <pivotArea dataOnly="0" labelOnly="1" outline="0" axis="axisValues" fieldPosition="0"/>
    </format>
  </format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59E6-F680-4CEA-A4DD-E5F1B22DAFFE}">
  <dimension ref="A1:S188"/>
  <sheetViews>
    <sheetView tabSelected="1" topLeftCell="E1" zoomScale="88" zoomScaleNormal="88" workbookViewId="0">
      <selection activeCell="K20" sqref="K19:K20"/>
    </sheetView>
  </sheetViews>
  <sheetFormatPr defaultColWidth="18.109375" defaultRowHeight="14.4" x14ac:dyDescent="0.3"/>
  <cols>
    <col min="1" max="1" width="18.109375" style="22"/>
    <col min="2" max="5" width="18.109375" style="2"/>
    <col min="6" max="6" width="18.109375" style="3"/>
    <col min="7" max="7" width="18.109375" style="21"/>
    <col min="8" max="8" width="18.109375" style="4"/>
  </cols>
  <sheetData>
    <row r="1" spans="1:14" ht="18" customHeight="1" x14ac:dyDescent="0.3">
      <c r="A1" s="5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192</v>
      </c>
      <c r="G1" s="5" t="s">
        <v>193</v>
      </c>
      <c r="H1" s="11" t="s">
        <v>194</v>
      </c>
      <c r="I1" s="27" t="s">
        <v>207</v>
      </c>
      <c r="J1" s="26" t="s">
        <v>208</v>
      </c>
      <c r="K1" s="26" t="s">
        <v>209</v>
      </c>
      <c r="L1" s="26" t="s">
        <v>210</v>
      </c>
      <c r="M1" s="26" t="s">
        <v>211</v>
      </c>
      <c r="N1" s="26"/>
    </row>
    <row r="2" spans="1:14" ht="18" customHeight="1" x14ac:dyDescent="0.3">
      <c r="A2" s="6" t="s">
        <v>5</v>
      </c>
      <c r="B2" s="12" t="s">
        <v>201</v>
      </c>
      <c r="C2" s="12" t="s">
        <v>202</v>
      </c>
      <c r="D2" s="12" t="s">
        <v>203</v>
      </c>
      <c r="E2" s="12" t="s">
        <v>204</v>
      </c>
      <c r="F2" s="12" t="s">
        <v>205</v>
      </c>
      <c r="G2" s="6" t="s">
        <v>195</v>
      </c>
      <c r="H2" s="13">
        <v>43885</v>
      </c>
      <c r="I2" s="23">
        <f>C2/B2</f>
        <v>3.4994346854920991E-2</v>
      </c>
      <c r="J2" s="24">
        <f>D2/B2</f>
        <v>0.69486804732096075</v>
      </c>
      <c r="K2" s="25">
        <f>B2/F2</f>
        <v>9.2959533622714516E-4</v>
      </c>
      <c r="L2" t="str" cm="1">
        <f t="array" ref="L2">_xlfn.IFS(I2&gt;5%,"High risk",AND(I2&gt;=2%,I2&lt;=5%),"Mod risk",I2&lt;2%,"Low risk")</f>
        <v>Mod risk</v>
      </c>
      <c r="M2" cm="1">
        <f t="array" ref="M2">_xlfn.IFS(L2="Low risk",1,L2="Mod risk",2,L2="high risk",3)</f>
        <v>2</v>
      </c>
    </row>
    <row r="3" spans="1:14" ht="18" customHeight="1" x14ac:dyDescent="0.3">
      <c r="A3" s="7" t="s">
        <v>6</v>
      </c>
      <c r="B3" s="14">
        <v>4880</v>
      </c>
      <c r="C3" s="14">
        <v>144</v>
      </c>
      <c r="D3" s="14">
        <v>2745</v>
      </c>
      <c r="E3" s="14">
        <v>1991</v>
      </c>
      <c r="F3" s="14">
        <v>2877470</v>
      </c>
      <c r="G3" s="7" t="s">
        <v>196</v>
      </c>
      <c r="H3" s="15">
        <v>43899</v>
      </c>
      <c r="I3" s="23">
        <f t="shared" ref="I3:I66" si="0">C3/B3</f>
        <v>2.9508196721311476E-2</v>
      </c>
      <c r="J3" s="24">
        <f t="shared" ref="J3:J66" si="1">D3/B3</f>
        <v>0.5625</v>
      </c>
      <c r="K3" s="25">
        <f t="shared" ref="K3:K66" si="2">B3/F3</f>
        <v>1.6959342755962703E-3</v>
      </c>
      <c r="L3" t="str" cm="1">
        <f t="array" ref="L3">_xlfn.IFS(I3&gt;5%,"High risk",AND(I3&gt;=2%,I3&lt;=5%),"Mod risk",I3&lt;2%,"Low risk")</f>
        <v>Mod risk</v>
      </c>
      <c r="M3" cm="1">
        <f t="array" ref="M3">_xlfn.IFS(L3="Low risk",1,L3="Mod risk",2,L3="high risk",3)</f>
        <v>2</v>
      </c>
    </row>
    <row r="4" spans="1:14" ht="18" customHeight="1" x14ac:dyDescent="0.3">
      <c r="A4" s="6" t="s">
        <v>7</v>
      </c>
      <c r="B4" s="12">
        <v>27973</v>
      </c>
      <c r="C4" s="12">
        <v>1163</v>
      </c>
      <c r="D4" s="12">
        <v>18837</v>
      </c>
      <c r="E4" s="12">
        <v>7973</v>
      </c>
      <c r="F4" s="12">
        <v>43926079</v>
      </c>
      <c r="G4" s="6" t="s">
        <v>197</v>
      </c>
      <c r="H4" s="13">
        <v>43886</v>
      </c>
      <c r="I4" s="23">
        <f t="shared" si="0"/>
        <v>4.1575805240767885E-2</v>
      </c>
      <c r="J4" s="24">
        <f t="shared" si="1"/>
        <v>0.67339934937260926</v>
      </c>
      <c r="K4" s="25">
        <f t="shared" si="2"/>
        <v>6.3681987185790017E-4</v>
      </c>
      <c r="L4" t="str" cm="1">
        <f t="array" ref="L4">_xlfn.IFS(I4&gt;5%,"High risk",AND(I4&gt;=2%,I4&lt;=5%),"Mod risk",I4&lt;2%,"Low risk")</f>
        <v>Mod risk</v>
      </c>
      <c r="M4" cm="1">
        <f t="array" ref="M4">_xlfn.IFS(L4="Low risk",1,L4="Mod risk",2,L4="high risk",3)</f>
        <v>2</v>
      </c>
    </row>
    <row r="5" spans="1:14" ht="18" customHeight="1" x14ac:dyDescent="0.3">
      <c r="A5" s="7" t="s">
        <v>8</v>
      </c>
      <c r="B5" s="14">
        <v>907</v>
      </c>
      <c r="C5" s="14">
        <v>52</v>
      </c>
      <c r="D5" s="14">
        <v>803</v>
      </c>
      <c r="E5" s="14">
        <v>52</v>
      </c>
      <c r="F5" s="14">
        <v>77278</v>
      </c>
      <c r="G5" s="7" t="s">
        <v>196</v>
      </c>
      <c r="H5" s="15">
        <v>43892</v>
      </c>
      <c r="I5" s="23">
        <f t="shared" si="0"/>
        <v>5.7331863285556783E-2</v>
      </c>
      <c r="J5" s="24">
        <f t="shared" si="1"/>
        <v>0.88533627342888643</v>
      </c>
      <c r="K5" s="25">
        <f t="shared" si="2"/>
        <v>1.1736846191671627E-2</v>
      </c>
      <c r="L5" t="str" cm="1">
        <f t="array" ref="L5">_xlfn.IFS(I5&gt;5%,"High risk",AND(I5&gt;=2%,I5&lt;=5%),"Mod risk",I5&lt;2%,"Low risk")</f>
        <v>High risk</v>
      </c>
      <c r="M5" cm="1">
        <f t="array" ref="M5">_xlfn.IFS(L5="Low risk",1,L5="Mod risk",2,L5="high risk",3)</f>
        <v>3</v>
      </c>
    </row>
    <row r="6" spans="1:14" ht="18" customHeight="1" x14ac:dyDescent="0.3">
      <c r="A6" s="6" t="s">
        <v>9</v>
      </c>
      <c r="B6" s="12">
        <v>950</v>
      </c>
      <c r="C6" s="12">
        <v>41</v>
      </c>
      <c r="D6" s="12">
        <v>242</v>
      </c>
      <c r="E6" s="12">
        <v>667</v>
      </c>
      <c r="F6" s="12">
        <v>32956300</v>
      </c>
      <c r="G6" s="6" t="s">
        <v>197</v>
      </c>
      <c r="H6" s="13">
        <v>43911</v>
      </c>
      <c r="I6" s="23">
        <f t="shared" si="0"/>
        <v>4.3157894736842103E-2</v>
      </c>
      <c r="J6" s="24">
        <f t="shared" si="1"/>
        <v>0.25473684210526315</v>
      </c>
      <c r="K6" s="25">
        <f t="shared" si="2"/>
        <v>2.8826051468156317E-5</v>
      </c>
      <c r="L6" t="str" cm="1">
        <f t="array" ref="L6">_xlfn.IFS(I6&gt;5%,"High risk",AND(I6&gt;=2%,I6&lt;=5%),"Mod risk",I6&lt;2%,"Low risk")</f>
        <v>Mod risk</v>
      </c>
      <c r="M6" cm="1">
        <f t="array" ref="M6">_xlfn.IFS(L6="Low risk",1,L6="Mod risk",2,L6="high risk",3)</f>
        <v>2</v>
      </c>
    </row>
    <row r="7" spans="1:14" ht="18" customHeight="1" x14ac:dyDescent="0.3">
      <c r="A7" s="7" t="s">
        <v>10</v>
      </c>
      <c r="B7" s="14">
        <v>86</v>
      </c>
      <c r="C7" s="14">
        <v>3</v>
      </c>
      <c r="D7" s="14">
        <v>65</v>
      </c>
      <c r="E7" s="14">
        <v>18</v>
      </c>
      <c r="F7" s="14">
        <v>98010</v>
      </c>
      <c r="G7" s="7" t="s">
        <v>198</v>
      </c>
      <c r="H7" s="15">
        <v>43903</v>
      </c>
      <c r="I7" s="23">
        <f t="shared" si="0"/>
        <v>3.4883720930232558E-2</v>
      </c>
      <c r="J7" s="24">
        <f t="shared" si="1"/>
        <v>0.7558139534883721</v>
      </c>
      <c r="K7" s="25">
        <f t="shared" si="2"/>
        <v>8.7746148352208962E-4</v>
      </c>
      <c r="L7" t="str" cm="1">
        <f t="array" ref="L7">_xlfn.IFS(I7&gt;5%,"High risk",AND(I7&gt;=2%,I7&lt;=5%),"Mod risk",I7&lt;2%,"Low risk")</f>
        <v>Mod risk</v>
      </c>
      <c r="M7" cm="1">
        <f t="array" ref="M7">_xlfn.IFS(L7="Low risk",1,L7="Mod risk",2,L7="high risk",3)</f>
        <v>2</v>
      </c>
    </row>
    <row r="8" spans="1:14" ht="18" customHeight="1" x14ac:dyDescent="0.3">
      <c r="A8" s="6" t="s">
        <v>11</v>
      </c>
      <c r="B8" s="12">
        <v>167416</v>
      </c>
      <c r="C8" s="12">
        <v>3059</v>
      </c>
      <c r="D8" s="12">
        <v>72575</v>
      </c>
      <c r="E8" s="12">
        <v>91782</v>
      </c>
      <c r="F8" s="12">
        <v>45236884</v>
      </c>
      <c r="G8" s="6" t="s">
        <v>199</v>
      </c>
      <c r="H8" s="13">
        <v>43893</v>
      </c>
      <c r="I8" s="23">
        <f t="shared" si="0"/>
        <v>1.8271849763463469E-2</v>
      </c>
      <c r="J8" s="24">
        <f t="shared" si="1"/>
        <v>0.43350097959573758</v>
      </c>
      <c r="K8" s="25">
        <f t="shared" si="2"/>
        <v>3.7008738267649026E-3</v>
      </c>
      <c r="L8" t="str" cm="1">
        <f t="array" ref="L8">_xlfn.IFS(I8&gt;5%,"High risk",AND(I8&gt;=2%,I8&lt;=5%),"Mod risk",I8&lt;2%,"Low risk")</f>
        <v>Low risk</v>
      </c>
      <c r="M8" cm="1">
        <f t="array" ref="M8">_xlfn.IFS(L8="Low risk",1,L8="Mod risk",2,L8="high risk",3)</f>
        <v>1</v>
      </c>
    </row>
    <row r="9" spans="1:14" ht="18" customHeight="1" x14ac:dyDescent="0.3">
      <c r="A9" s="7" t="s">
        <v>12</v>
      </c>
      <c r="B9" s="14">
        <v>37390</v>
      </c>
      <c r="C9" s="14">
        <v>711</v>
      </c>
      <c r="D9" s="14">
        <v>26665</v>
      </c>
      <c r="E9" s="14">
        <v>10014</v>
      </c>
      <c r="F9" s="14">
        <v>2963811</v>
      </c>
      <c r="G9" s="7" t="s">
        <v>195</v>
      </c>
      <c r="H9" s="15">
        <v>43891</v>
      </c>
      <c r="I9" s="23">
        <f t="shared" si="0"/>
        <v>1.901577962021931E-2</v>
      </c>
      <c r="J9" s="24">
        <f t="shared" si="1"/>
        <v>0.71315859855576358</v>
      </c>
      <c r="K9" s="25">
        <f t="shared" si="2"/>
        <v>1.2615514282118529E-2</v>
      </c>
      <c r="L9" t="str" cm="1">
        <f t="array" ref="L9">_xlfn.IFS(I9&gt;5%,"High risk",AND(I9&gt;=2%,I9&lt;=5%),"Mod risk",I9&lt;2%,"Low risk")</f>
        <v>Low risk</v>
      </c>
      <c r="M9" cm="1">
        <f t="array" ref="M9">_xlfn.IFS(L9="Low risk",1,L9="Mod risk",2,L9="high risk",3)</f>
        <v>1</v>
      </c>
    </row>
    <row r="10" spans="1:14" ht="18" customHeight="1" x14ac:dyDescent="0.3">
      <c r="A10" s="6" t="s">
        <v>13</v>
      </c>
      <c r="B10" s="12">
        <v>15303</v>
      </c>
      <c r="C10" s="12">
        <v>167</v>
      </c>
      <c r="D10" s="12">
        <v>9311</v>
      </c>
      <c r="E10" s="12">
        <v>5825</v>
      </c>
      <c r="F10" s="12">
        <v>25528864</v>
      </c>
      <c r="G10" s="6" t="s">
        <v>200</v>
      </c>
      <c r="H10" s="13">
        <v>43855</v>
      </c>
      <c r="I10" s="23">
        <f t="shared" si="0"/>
        <v>1.0912892896817617E-2</v>
      </c>
      <c r="J10" s="24">
        <f t="shared" si="1"/>
        <v>0.60844278899562176</v>
      </c>
      <c r="K10" s="25">
        <f t="shared" si="2"/>
        <v>5.9943912897965216E-4</v>
      </c>
      <c r="L10" t="str" cm="1">
        <f t="array" ref="L10">_xlfn.IFS(I10&gt;5%,"High risk",AND(I10&gt;=2%,I10&lt;=5%),"Mod risk",I10&lt;2%,"Low risk")</f>
        <v>Low risk</v>
      </c>
      <c r="M10" cm="1">
        <f t="array" ref="M10">_xlfn.IFS(L10="Low risk",1,L10="Mod risk",2,L10="high risk",3)</f>
        <v>1</v>
      </c>
    </row>
    <row r="11" spans="1:14" ht="18" customHeight="1" x14ac:dyDescent="0.3">
      <c r="A11" s="7" t="s">
        <v>14</v>
      </c>
      <c r="B11" s="14">
        <v>20558</v>
      </c>
      <c r="C11" s="14">
        <v>713</v>
      </c>
      <c r="D11" s="14">
        <v>18246</v>
      </c>
      <c r="E11" s="14">
        <v>1599</v>
      </c>
      <c r="F11" s="14">
        <v>9011577</v>
      </c>
      <c r="G11" s="7" t="s">
        <v>196</v>
      </c>
      <c r="H11" s="15">
        <v>43886</v>
      </c>
      <c r="I11" s="23">
        <f t="shared" si="0"/>
        <v>3.4682362097480303E-2</v>
      </c>
      <c r="J11" s="24">
        <f t="shared" si="1"/>
        <v>0.88753769821967121</v>
      </c>
      <c r="K11" s="25">
        <f t="shared" si="2"/>
        <v>2.2812877257776302E-3</v>
      </c>
      <c r="L11" t="str" cm="1">
        <f t="array" ref="L11">_xlfn.IFS(I11&gt;5%,"High risk",AND(I11&gt;=2%,I11&lt;=5%),"Mod risk",I11&lt;2%,"Low risk")</f>
        <v>Mod risk</v>
      </c>
      <c r="M11" cm="1">
        <f t="array" ref="M11">_xlfn.IFS(L11="Low risk",1,L11="Mod risk",2,L11="high risk",3)</f>
        <v>2</v>
      </c>
    </row>
    <row r="12" spans="1:14" ht="18" customHeight="1" x14ac:dyDescent="0.3">
      <c r="A12" s="6" t="s">
        <v>15</v>
      </c>
      <c r="B12" s="12">
        <v>30446</v>
      </c>
      <c r="C12" s="12">
        <v>423</v>
      </c>
      <c r="D12" s="12">
        <v>23242</v>
      </c>
      <c r="E12" s="12">
        <v>6781</v>
      </c>
      <c r="F12" s="12">
        <v>10148243</v>
      </c>
      <c r="G12" s="6" t="s">
        <v>195</v>
      </c>
      <c r="H12" s="13">
        <v>43889</v>
      </c>
      <c r="I12" s="23">
        <f t="shared" si="0"/>
        <v>1.389345069959929E-2</v>
      </c>
      <c r="J12" s="24">
        <f t="shared" si="1"/>
        <v>0.76338435262431847</v>
      </c>
      <c r="K12" s="25">
        <f t="shared" si="2"/>
        <v>3.0001252433549336E-3</v>
      </c>
      <c r="L12" t="str" cm="1">
        <f t="array" ref="L12">_xlfn.IFS(I12&gt;5%,"High risk",AND(I12&gt;=2%,I12&lt;=5%),"Mod risk",I12&lt;2%,"Low risk")</f>
        <v>Low risk</v>
      </c>
      <c r="M12" cm="1">
        <f t="array" ref="M12">_xlfn.IFS(L12="Low risk",1,L12="Mod risk",2,L12="high risk",3)</f>
        <v>1</v>
      </c>
    </row>
    <row r="13" spans="1:14" ht="18" customHeight="1" x14ac:dyDescent="0.3">
      <c r="A13" s="7" t="s">
        <v>16</v>
      </c>
      <c r="B13" s="14">
        <v>382</v>
      </c>
      <c r="C13" s="14">
        <v>11</v>
      </c>
      <c r="D13" s="14">
        <v>91</v>
      </c>
      <c r="E13" s="14">
        <v>280</v>
      </c>
      <c r="F13" s="14">
        <v>393616</v>
      </c>
      <c r="G13" s="7" t="s">
        <v>198</v>
      </c>
      <c r="H13" s="15">
        <v>43905</v>
      </c>
      <c r="I13" s="23">
        <f t="shared" si="0"/>
        <v>2.8795811518324606E-2</v>
      </c>
      <c r="J13" s="24">
        <f t="shared" si="1"/>
        <v>0.23821989528795812</v>
      </c>
      <c r="K13" s="25">
        <f t="shared" si="2"/>
        <v>9.7048900451201169E-4</v>
      </c>
      <c r="L13" t="str" cm="1">
        <f t="array" ref="L13">_xlfn.IFS(I13&gt;5%,"High risk",AND(I13&gt;=2%,I13&lt;=5%),"Mod risk",I13&lt;2%,"Low risk")</f>
        <v>Mod risk</v>
      </c>
      <c r="M13" cm="1">
        <f t="array" ref="M13">_xlfn.IFS(L13="Low risk",1,L13="Mod risk",2,L13="high risk",3)</f>
        <v>2</v>
      </c>
    </row>
    <row r="14" spans="1:14" ht="18" customHeight="1" x14ac:dyDescent="0.3">
      <c r="A14" s="6" t="s">
        <v>17</v>
      </c>
      <c r="B14" s="12">
        <v>39482</v>
      </c>
      <c r="C14" s="12">
        <v>141</v>
      </c>
      <c r="D14" s="12">
        <v>36110</v>
      </c>
      <c r="E14" s="12">
        <v>3231</v>
      </c>
      <c r="F14" s="12">
        <v>1706669</v>
      </c>
      <c r="G14" s="6" t="s">
        <v>195</v>
      </c>
      <c r="H14" s="13">
        <v>43882</v>
      </c>
      <c r="I14" s="23">
        <f t="shared" si="0"/>
        <v>3.5712476571602247E-3</v>
      </c>
      <c r="J14" s="24">
        <f t="shared" si="1"/>
        <v>0.91459399219897675</v>
      </c>
      <c r="K14" s="25">
        <f t="shared" si="2"/>
        <v>2.3133952746548978E-2</v>
      </c>
      <c r="L14" t="str" cm="1">
        <f t="array" ref="L14">_xlfn.IFS(I14&gt;5%,"High risk",AND(I14&gt;=2%,I14&lt;=5%),"Mod risk",I14&lt;2%,"Low risk")</f>
        <v>Low risk</v>
      </c>
      <c r="M14" cm="1">
        <f t="array" ref="M14">_xlfn.IFS(L14="Low risk",1,L14="Mod risk",2,L14="high risk",3)</f>
        <v>1</v>
      </c>
    </row>
    <row r="15" spans="1:14" ht="18" customHeight="1" x14ac:dyDescent="0.3">
      <c r="A15" s="7" t="s">
        <v>18</v>
      </c>
      <c r="B15" s="14">
        <v>226225</v>
      </c>
      <c r="C15" s="14">
        <v>2965</v>
      </c>
      <c r="D15" s="14">
        <v>125683</v>
      </c>
      <c r="E15" s="14">
        <v>97577</v>
      </c>
      <c r="F15" s="14">
        <v>164851401</v>
      </c>
      <c r="G15" s="7" t="s">
        <v>195</v>
      </c>
      <c r="H15" s="15">
        <v>43898</v>
      </c>
      <c r="I15" s="23">
        <f t="shared" si="0"/>
        <v>1.3106420598961211E-2</v>
      </c>
      <c r="J15" s="24">
        <f t="shared" si="1"/>
        <v>0.55556636092385903</v>
      </c>
      <c r="K15" s="25">
        <f t="shared" si="2"/>
        <v>1.3722964962851604E-3</v>
      </c>
      <c r="L15" t="str" cm="1">
        <f t="array" ref="L15">_xlfn.IFS(I15&gt;5%,"High risk",AND(I15&gt;=2%,I15&lt;=5%),"Mod risk",I15&lt;2%,"Low risk")</f>
        <v>Low risk</v>
      </c>
      <c r="M15" cm="1">
        <f t="array" ref="M15">_xlfn.IFS(L15="Low risk",1,L15="Mod risk",2,L15="high risk",3)</f>
        <v>1</v>
      </c>
    </row>
    <row r="16" spans="1:14" ht="18" customHeight="1" x14ac:dyDescent="0.3">
      <c r="A16" s="6" t="s">
        <v>19</v>
      </c>
      <c r="B16" s="12">
        <v>110</v>
      </c>
      <c r="C16" s="12">
        <v>7</v>
      </c>
      <c r="D16" s="12">
        <v>94</v>
      </c>
      <c r="E16" s="12">
        <v>9</v>
      </c>
      <c r="F16" s="12">
        <v>287411</v>
      </c>
      <c r="G16" s="6" t="s">
        <v>198</v>
      </c>
      <c r="H16" s="13">
        <v>43907</v>
      </c>
      <c r="I16" s="23">
        <f t="shared" si="0"/>
        <v>6.363636363636363E-2</v>
      </c>
      <c r="J16" s="24">
        <f t="shared" si="1"/>
        <v>0.8545454545454545</v>
      </c>
      <c r="K16" s="25">
        <f t="shared" si="2"/>
        <v>3.8272717467320317E-4</v>
      </c>
      <c r="L16" t="str" cm="1">
        <f t="array" ref="L16">_xlfn.IFS(I16&gt;5%,"High risk",AND(I16&gt;=2%,I16&lt;=5%),"Mod risk",I16&lt;2%,"Low risk")</f>
        <v>High risk</v>
      </c>
      <c r="M16" cm="1">
        <f t="array" ref="M16">_xlfn.IFS(L16="Low risk",1,L16="Mod risk",2,L16="high risk",3)</f>
        <v>3</v>
      </c>
    </row>
    <row r="17" spans="1:13" ht="18" customHeight="1" x14ac:dyDescent="0.3">
      <c r="A17" s="7" t="s">
        <v>20</v>
      </c>
      <c r="B17" s="14">
        <v>67251</v>
      </c>
      <c r="C17" s="14">
        <v>538</v>
      </c>
      <c r="D17" s="14">
        <v>60492</v>
      </c>
      <c r="E17" s="14">
        <v>6221</v>
      </c>
      <c r="F17" s="14">
        <v>9449001</v>
      </c>
      <c r="G17" s="7" t="s">
        <v>196</v>
      </c>
      <c r="H17" s="15">
        <v>43889</v>
      </c>
      <c r="I17" s="23">
        <f t="shared" si="0"/>
        <v>7.9998810426610764E-3</v>
      </c>
      <c r="J17" s="24">
        <f t="shared" si="1"/>
        <v>0.89949591827630815</v>
      </c>
      <c r="K17" s="25">
        <f t="shared" si="2"/>
        <v>7.1172603326002401E-3</v>
      </c>
      <c r="L17" t="str" cm="1">
        <f t="array" ref="L17">_xlfn.IFS(I17&gt;5%,"High risk",AND(I17&gt;=2%,I17&lt;=5%),"Mod risk",I17&lt;2%,"Low risk")</f>
        <v>Low risk</v>
      </c>
      <c r="M17" cm="1">
        <f t="array" ref="M17">_xlfn.IFS(L17="Low risk",1,L17="Mod risk",2,L17="high risk",3)</f>
        <v>1</v>
      </c>
    </row>
    <row r="18" spans="1:13" ht="18" customHeight="1" x14ac:dyDescent="0.3">
      <c r="A18" s="6" t="s">
        <v>21</v>
      </c>
      <c r="B18" s="12">
        <v>66428</v>
      </c>
      <c r="C18" s="12">
        <v>9822</v>
      </c>
      <c r="D18" s="12">
        <v>17452</v>
      </c>
      <c r="E18" s="12">
        <v>39154</v>
      </c>
      <c r="F18" s="12">
        <v>11594739</v>
      </c>
      <c r="G18" s="6" t="s">
        <v>196</v>
      </c>
      <c r="H18" s="13">
        <v>43865</v>
      </c>
      <c r="I18" s="23">
        <f t="shared" si="0"/>
        <v>0.14785933642439936</v>
      </c>
      <c r="J18" s="24">
        <f t="shared" si="1"/>
        <v>0.26272053953152286</v>
      </c>
      <c r="K18" s="25">
        <f t="shared" si="2"/>
        <v>5.7291500912612179E-3</v>
      </c>
      <c r="L18" t="str" cm="1">
        <f t="array" ref="L18">_xlfn.IFS(I18&gt;5%,"High risk",AND(I18&gt;=2%,I18&lt;=5%),"Mod risk",I18&lt;2%,"Low risk")</f>
        <v>High risk</v>
      </c>
      <c r="M18" cm="1">
        <f t="array" ref="M18">_xlfn.IFS(L18="Low risk",1,L18="Mod risk",2,L18="high risk",3)</f>
        <v>3</v>
      </c>
    </row>
    <row r="19" spans="1:13" ht="18" customHeight="1" x14ac:dyDescent="0.3">
      <c r="A19" s="7" t="s">
        <v>22</v>
      </c>
      <c r="B19" s="14">
        <v>48</v>
      </c>
      <c r="C19" s="14">
        <v>2</v>
      </c>
      <c r="D19" s="14">
        <v>26</v>
      </c>
      <c r="E19" s="14">
        <v>20</v>
      </c>
      <c r="F19" s="14">
        <v>398312</v>
      </c>
      <c r="G19" s="7" t="s">
        <v>198</v>
      </c>
      <c r="H19" s="15">
        <v>43913</v>
      </c>
      <c r="I19" s="23">
        <f t="shared" si="0"/>
        <v>4.1666666666666664E-2</v>
      </c>
      <c r="J19" s="24">
        <f t="shared" si="1"/>
        <v>0.54166666666666663</v>
      </c>
      <c r="K19" s="25">
        <f t="shared" si="2"/>
        <v>1.2050854606439174E-4</v>
      </c>
      <c r="L19" t="str" cm="1">
        <f t="array" ref="L19">_xlfn.IFS(I19&gt;5%,"High risk",AND(I19&gt;=2%,I19&lt;=5%),"Mod risk",I19&lt;2%,"Low risk")</f>
        <v>Mod risk</v>
      </c>
      <c r="M19" cm="1">
        <f t="array" ref="M19">_xlfn.IFS(L19="Low risk",1,L19="Mod risk",2,L19="high risk",3)</f>
        <v>2</v>
      </c>
    </row>
    <row r="20" spans="1:13" ht="18" customHeight="1" x14ac:dyDescent="0.3">
      <c r="A20" s="6" t="s">
        <v>23</v>
      </c>
      <c r="B20" s="12">
        <v>1770</v>
      </c>
      <c r="C20" s="12">
        <v>35</v>
      </c>
      <c r="D20" s="12">
        <v>1036</v>
      </c>
      <c r="E20" s="12">
        <v>699</v>
      </c>
      <c r="F20" s="12">
        <v>12151976</v>
      </c>
      <c r="G20" s="6" t="s">
        <v>197</v>
      </c>
      <c r="H20" s="13">
        <v>43906</v>
      </c>
      <c r="I20" s="23">
        <f t="shared" si="0"/>
        <v>1.977401129943503E-2</v>
      </c>
      <c r="J20" s="24">
        <f t="shared" si="1"/>
        <v>0.58531073446327686</v>
      </c>
      <c r="K20" s="25">
        <f t="shared" si="2"/>
        <v>1.4565532387489903E-4</v>
      </c>
      <c r="L20" t="str" cm="1">
        <f t="array" ref="L20">_xlfn.IFS(I20&gt;5%,"High risk",AND(I20&gt;=2%,I20&lt;=5%),"Mod risk",I20&lt;2%,"Low risk")</f>
        <v>Low risk</v>
      </c>
      <c r="M20" cm="1">
        <f t="array" ref="M20">_xlfn.IFS(L20="Low risk",1,L20="Mod risk",2,L20="high risk",3)</f>
        <v>1</v>
      </c>
    </row>
    <row r="21" spans="1:13" ht="18" customHeight="1" x14ac:dyDescent="0.3">
      <c r="A21" s="7" t="s">
        <v>24</v>
      </c>
      <c r="B21" s="14">
        <v>99</v>
      </c>
      <c r="C21" s="14">
        <v>0</v>
      </c>
      <c r="D21" s="14">
        <v>86</v>
      </c>
      <c r="E21" s="14">
        <v>13</v>
      </c>
      <c r="F21" s="14">
        <v>772443</v>
      </c>
      <c r="G21" s="7" t="s">
        <v>195</v>
      </c>
      <c r="H21" s="15">
        <v>43896</v>
      </c>
      <c r="I21" s="23">
        <f t="shared" si="0"/>
        <v>0</v>
      </c>
      <c r="J21" s="24">
        <f t="shared" si="1"/>
        <v>0.86868686868686873</v>
      </c>
      <c r="K21" s="25">
        <f t="shared" si="2"/>
        <v>1.2816479662577045E-4</v>
      </c>
      <c r="L21" t="str" cm="1">
        <f t="array" ref="L21">_xlfn.IFS(I21&gt;5%,"High risk",AND(I21&gt;=2%,I21&lt;=5%),"Mod risk",I21&lt;2%,"Low risk")</f>
        <v>Low risk</v>
      </c>
      <c r="M21" cm="1">
        <f t="array" ref="M21">_xlfn.IFS(L21="Low risk",1,L21="Mod risk",2,L21="high risk",3)</f>
        <v>1</v>
      </c>
    </row>
    <row r="22" spans="1:13" ht="18" customHeight="1" x14ac:dyDescent="0.3">
      <c r="A22" s="6" t="s">
        <v>25</v>
      </c>
      <c r="B22" s="12">
        <v>71181</v>
      </c>
      <c r="C22" s="12">
        <v>2647</v>
      </c>
      <c r="D22" s="12">
        <v>21478</v>
      </c>
      <c r="E22" s="12">
        <v>47056</v>
      </c>
      <c r="F22" s="12">
        <v>11688459</v>
      </c>
      <c r="G22" s="6" t="s">
        <v>199</v>
      </c>
      <c r="H22" s="13">
        <v>43900</v>
      </c>
      <c r="I22" s="23">
        <f t="shared" si="0"/>
        <v>3.7186889759907839E-2</v>
      </c>
      <c r="J22" s="24">
        <f t="shared" si="1"/>
        <v>0.30173782329554233</v>
      </c>
      <c r="K22" s="25">
        <f t="shared" si="2"/>
        <v>6.0898532475495704E-3</v>
      </c>
      <c r="L22" t="str" cm="1">
        <f t="array" ref="L22">_xlfn.IFS(I22&gt;5%,"High risk",AND(I22&gt;=2%,I22&lt;=5%),"Mod risk",I22&lt;2%,"Low risk")</f>
        <v>Mod risk</v>
      </c>
      <c r="M22" cm="1">
        <f t="array" ref="M22">_xlfn.IFS(L22="Low risk",1,L22="Mod risk",2,L22="high risk",3)</f>
        <v>2</v>
      </c>
    </row>
    <row r="23" spans="1:13" ht="18" customHeight="1" x14ac:dyDescent="0.3">
      <c r="A23" s="7" t="s">
        <v>26</v>
      </c>
      <c r="B23" s="14">
        <v>10498</v>
      </c>
      <c r="C23" s="14">
        <v>294</v>
      </c>
      <c r="D23" s="14">
        <v>4930</v>
      </c>
      <c r="E23" s="14">
        <v>5274</v>
      </c>
      <c r="F23" s="14">
        <v>3278650</v>
      </c>
      <c r="G23" s="7" t="s">
        <v>196</v>
      </c>
      <c r="H23" s="15">
        <v>43895</v>
      </c>
      <c r="I23" s="23">
        <f t="shared" si="0"/>
        <v>2.8005334349399887E-2</v>
      </c>
      <c r="J23" s="24">
        <f t="shared" si="1"/>
        <v>0.46961325966850831</v>
      </c>
      <c r="K23" s="25">
        <f t="shared" si="2"/>
        <v>3.2019276226495663E-3</v>
      </c>
      <c r="L23" t="str" cm="1">
        <f t="array" ref="L23">_xlfn.IFS(I23&gt;5%,"High risk",AND(I23&gt;=2%,I23&lt;=5%),"Mod risk",I23&lt;2%,"Low risk")</f>
        <v>Mod risk</v>
      </c>
      <c r="M23" cm="1">
        <f t="array" ref="M23">_xlfn.IFS(L23="Low risk",1,L23="Mod risk",2,L23="high risk",3)</f>
        <v>2</v>
      </c>
    </row>
    <row r="24" spans="1:13" ht="18" customHeight="1" x14ac:dyDescent="0.3">
      <c r="A24" s="6" t="s">
        <v>27</v>
      </c>
      <c r="B24" s="12">
        <v>739</v>
      </c>
      <c r="C24" s="12">
        <v>2</v>
      </c>
      <c r="D24" s="12">
        <v>63</v>
      </c>
      <c r="E24" s="12">
        <v>674</v>
      </c>
      <c r="F24" s="12">
        <v>2356075</v>
      </c>
      <c r="G24" s="6" t="s">
        <v>197</v>
      </c>
      <c r="H24" s="13">
        <v>43920</v>
      </c>
      <c r="I24" s="23">
        <f t="shared" si="0"/>
        <v>2.7063599458728013E-3</v>
      </c>
      <c r="J24" s="24">
        <f t="shared" si="1"/>
        <v>8.5250338294993233E-2</v>
      </c>
      <c r="K24" s="25">
        <f t="shared" si="2"/>
        <v>3.1365724775314879E-4</v>
      </c>
      <c r="L24" t="str" cm="1">
        <f t="array" ref="L24">_xlfn.IFS(I24&gt;5%,"High risk",AND(I24&gt;=2%,I24&lt;=5%),"Mod risk",I24&lt;2%,"Low risk")</f>
        <v>Low risk</v>
      </c>
      <c r="M24" cm="1">
        <f t="array" ref="M24">_xlfn.IFS(L24="Low risk",1,L24="Mod risk",2,L24="high risk",3)</f>
        <v>1</v>
      </c>
    </row>
    <row r="25" spans="1:13" ht="18" customHeight="1" x14ac:dyDescent="0.3">
      <c r="A25" s="7" t="s">
        <v>28</v>
      </c>
      <c r="B25" s="14">
        <v>2442375</v>
      </c>
      <c r="C25" s="14">
        <v>87618</v>
      </c>
      <c r="D25" s="14">
        <v>1846641</v>
      </c>
      <c r="E25" s="14">
        <v>508116</v>
      </c>
      <c r="F25" s="14">
        <v>212710692</v>
      </c>
      <c r="G25" s="7" t="s">
        <v>199</v>
      </c>
      <c r="H25" s="15">
        <v>43887</v>
      </c>
      <c r="I25" s="23">
        <f t="shared" si="0"/>
        <v>3.5874097957930291E-2</v>
      </c>
      <c r="J25" s="24">
        <f t="shared" si="1"/>
        <v>0.75608413941348074</v>
      </c>
      <c r="K25" s="25">
        <f t="shared" si="2"/>
        <v>1.1482144959596107E-2</v>
      </c>
      <c r="L25" t="str" cm="1">
        <f t="array" ref="L25">_xlfn.IFS(I25&gt;5%,"High risk",AND(I25&gt;=2%,I25&lt;=5%),"Mod risk",I25&lt;2%,"Low risk")</f>
        <v>Mod risk</v>
      </c>
      <c r="M25" cm="1">
        <f t="array" ref="M25">_xlfn.IFS(L25="Low risk",1,L25="Mod risk",2,L25="high risk",3)</f>
        <v>2</v>
      </c>
    </row>
    <row r="26" spans="1:13" ht="18" customHeight="1" x14ac:dyDescent="0.3">
      <c r="A26" s="6" t="s">
        <v>29</v>
      </c>
      <c r="B26" s="12">
        <v>141</v>
      </c>
      <c r="C26" s="12">
        <v>3</v>
      </c>
      <c r="D26" s="12">
        <v>138</v>
      </c>
      <c r="E26" s="12">
        <v>0</v>
      </c>
      <c r="F26" s="12">
        <v>437893</v>
      </c>
      <c r="G26" s="6" t="s">
        <v>195</v>
      </c>
      <c r="H26" s="13">
        <v>43899</v>
      </c>
      <c r="I26" s="23">
        <f t="shared" si="0"/>
        <v>2.1276595744680851E-2</v>
      </c>
      <c r="J26" s="24">
        <f t="shared" si="1"/>
        <v>0.97872340425531912</v>
      </c>
      <c r="K26" s="25">
        <f t="shared" si="2"/>
        <v>3.2199646945715047E-4</v>
      </c>
      <c r="L26" t="str" cm="1">
        <f t="array" ref="L26">_xlfn.IFS(I26&gt;5%,"High risk",AND(I26&gt;=2%,I26&lt;=5%),"Mod risk",I26&lt;2%,"Low risk")</f>
        <v>Mod risk</v>
      </c>
      <c r="M26" cm="1">
        <f t="array" ref="M26">_xlfn.IFS(L26="Low risk",1,L26="Mod risk",2,L26="high risk",3)</f>
        <v>2</v>
      </c>
    </row>
    <row r="27" spans="1:13" ht="18" customHeight="1" x14ac:dyDescent="0.3">
      <c r="A27" s="7" t="s">
        <v>30</v>
      </c>
      <c r="B27" s="14">
        <v>10621</v>
      </c>
      <c r="C27" s="14">
        <v>347</v>
      </c>
      <c r="D27" s="14">
        <v>5585</v>
      </c>
      <c r="E27" s="14">
        <v>4689</v>
      </c>
      <c r="F27" s="14">
        <v>6942854</v>
      </c>
      <c r="G27" s="7" t="s">
        <v>196</v>
      </c>
      <c r="H27" s="15">
        <v>43898</v>
      </c>
      <c r="I27" s="23">
        <f t="shared" si="0"/>
        <v>3.2671123246398641E-2</v>
      </c>
      <c r="J27" s="24">
        <f t="shared" si="1"/>
        <v>0.52584502400903865</v>
      </c>
      <c r="K27" s="25">
        <f t="shared" si="2"/>
        <v>1.5297743550418891E-3</v>
      </c>
      <c r="L27" t="str" cm="1">
        <f t="array" ref="L27">_xlfn.IFS(I27&gt;5%,"High risk",AND(I27&gt;=2%,I27&lt;=5%),"Mod risk",I27&lt;2%,"Low risk")</f>
        <v>Mod risk</v>
      </c>
      <c r="M27" cm="1">
        <f t="array" ref="M27">_xlfn.IFS(L27="Low risk",1,L27="Mod risk",2,L27="high risk",3)</f>
        <v>2</v>
      </c>
    </row>
    <row r="28" spans="1:13" ht="18" customHeight="1" x14ac:dyDescent="0.3">
      <c r="A28" s="6" t="s">
        <v>31</v>
      </c>
      <c r="B28" s="12">
        <v>1100</v>
      </c>
      <c r="C28" s="12">
        <v>53</v>
      </c>
      <c r="D28" s="12">
        <v>926</v>
      </c>
      <c r="E28" s="12">
        <v>121</v>
      </c>
      <c r="F28" s="12">
        <v>20954852</v>
      </c>
      <c r="G28" s="6" t="s">
        <v>197</v>
      </c>
      <c r="H28" s="13">
        <v>43899</v>
      </c>
      <c r="I28" s="23">
        <f t="shared" si="0"/>
        <v>4.818181818181818E-2</v>
      </c>
      <c r="J28" s="24">
        <f t="shared" si="1"/>
        <v>0.8418181818181818</v>
      </c>
      <c r="K28" s="25">
        <f t="shared" si="2"/>
        <v>5.2493809071044739E-5</v>
      </c>
      <c r="L28" t="str" cm="1">
        <f t="array" ref="L28">_xlfn.IFS(I28&gt;5%,"High risk",AND(I28&gt;=2%,I28&lt;=5%),"Mod risk",I28&lt;2%,"Low risk")</f>
        <v>Mod risk</v>
      </c>
      <c r="M28" cm="1">
        <f t="array" ref="M28">_xlfn.IFS(L28="Low risk",1,L28="Mod risk",2,L28="high risk",3)</f>
        <v>2</v>
      </c>
    </row>
    <row r="29" spans="1:13" ht="18" customHeight="1" x14ac:dyDescent="0.3">
      <c r="A29" s="7" t="s">
        <v>191</v>
      </c>
      <c r="B29" s="14">
        <v>350</v>
      </c>
      <c r="C29" s="14">
        <v>6</v>
      </c>
      <c r="D29" s="14">
        <v>292</v>
      </c>
      <c r="E29" s="14">
        <v>52</v>
      </c>
      <c r="F29" s="14">
        <v>54446389</v>
      </c>
      <c r="G29" s="7" t="s">
        <v>195</v>
      </c>
      <c r="H29" s="15">
        <v>43913</v>
      </c>
      <c r="I29" s="23">
        <f t="shared" si="0"/>
        <v>1.7142857142857144E-2</v>
      </c>
      <c r="J29" s="24">
        <f t="shared" si="1"/>
        <v>0.8342857142857143</v>
      </c>
      <c r="K29" s="25">
        <f t="shared" si="2"/>
        <v>6.4283418318155129E-6</v>
      </c>
      <c r="L29" t="str" cm="1">
        <f t="array" ref="L29">_xlfn.IFS(I29&gt;5%,"High risk",AND(I29&gt;=2%,I29&lt;=5%),"Mod risk",I29&lt;2%,"Low risk")</f>
        <v>Low risk</v>
      </c>
      <c r="M29" cm="1">
        <f t="array" ref="M29">_xlfn.IFS(L29="Low risk",1,L29="Mod risk",2,L29="high risk",3)</f>
        <v>1</v>
      </c>
    </row>
    <row r="30" spans="1:13" ht="18" customHeight="1" x14ac:dyDescent="0.3">
      <c r="A30" s="6" t="s">
        <v>32</v>
      </c>
      <c r="B30" s="12">
        <v>378</v>
      </c>
      <c r="C30" s="12">
        <v>1</v>
      </c>
      <c r="D30" s="12">
        <v>301</v>
      </c>
      <c r="E30" s="12">
        <v>76</v>
      </c>
      <c r="F30" s="12">
        <v>11922216</v>
      </c>
      <c r="G30" s="6" t="s">
        <v>197</v>
      </c>
      <c r="H30" s="13">
        <v>43921</v>
      </c>
      <c r="I30" s="23">
        <f t="shared" si="0"/>
        <v>2.6455026455026454E-3</v>
      </c>
      <c r="J30" s="24">
        <f t="shared" si="1"/>
        <v>0.79629629629629628</v>
      </c>
      <c r="K30" s="25">
        <f t="shared" si="2"/>
        <v>3.1705515149197092E-5</v>
      </c>
      <c r="L30" t="str" cm="1">
        <f t="array" ref="L30">_xlfn.IFS(I30&gt;5%,"High risk",AND(I30&gt;=2%,I30&lt;=5%),"Mod risk",I30&lt;2%,"Low risk")</f>
        <v>Low risk</v>
      </c>
      <c r="M30" cm="1">
        <f t="array" ref="M30">_xlfn.IFS(L30="Low risk",1,L30="Mod risk",2,L30="high risk",3)</f>
        <v>1</v>
      </c>
    </row>
    <row r="31" spans="1:13" ht="18" customHeight="1" x14ac:dyDescent="0.3">
      <c r="A31" s="7" t="s">
        <v>33</v>
      </c>
      <c r="B31" s="14">
        <v>2328</v>
      </c>
      <c r="C31" s="14">
        <v>22</v>
      </c>
      <c r="D31" s="14">
        <v>1550</v>
      </c>
      <c r="E31" s="14">
        <v>756</v>
      </c>
      <c r="F31" s="14">
        <v>556581</v>
      </c>
      <c r="G31" s="7" t="s">
        <v>197</v>
      </c>
      <c r="H31" s="15">
        <v>43910</v>
      </c>
      <c r="I31" s="23">
        <f t="shared" si="0"/>
        <v>9.4501718213058413E-3</v>
      </c>
      <c r="J31" s="24">
        <f t="shared" si="1"/>
        <v>0.66580756013745701</v>
      </c>
      <c r="K31" s="25">
        <f t="shared" si="2"/>
        <v>4.1826796099759065E-3</v>
      </c>
      <c r="L31" t="str" cm="1">
        <f t="array" ref="L31">_xlfn.IFS(I31&gt;5%,"High risk",AND(I31&gt;=2%,I31&lt;=5%),"Mod risk",I31&lt;2%,"Low risk")</f>
        <v>Low risk</v>
      </c>
      <c r="M31" cm="1">
        <f t="array" ref="M31">_xlfn.IFS(L31="Low risk",1,L31="Mod risk",2,L31="high risk",3)</f>
        <v>1</v>
      </c>
    </row>
    <row r="32" spans="1:13" ht="18" customHeight="1" x14ac:dyDescent="0.3">
      <c r="A32" s="6" t="s">
        <v>34</v>
      </c>
      <c r="B32" s="12">
        <v>226</v>
      </c>
      <c r="C32" s="12">
        <v>0</v>
      </c>
      <c r="D32" s="12">
        <v>147</v>
      </c>
      <c r="E32" s="12">
        <v>79</v>
      </c>
      <c r="F32" s="12">
        <v>16741375</v>
      </c>
      <c r="G32" s="6" t="s">
        <v>195</v>
      </c>
      <c r="H32" s="13">
        <v>43857</v>
      </c>
      <c r="I32" s="23">
        <f t="shared" si="0"/>
        <v>0</v>
      </c>
      <c r="J32" s="24">
        <f t="shared" si="1"/>
        <v>0.65044247787610621</v>
      </c>
      <c r="K32" s="25">
        <f t="shared" si="2"/>
        <v>1.349948854260776E-5</v>
      </c>
      <c r="L32" t="str" cm="1">
        <f t="array" ref="L32">_xlfn.IFS(I32&gt;5%,"High risk",AND(I32&gt;=2%,I32&lt;=5%),"Mod risk",I32&lt;2%,"Low risk")</f>
        <v>Low risk</v>
      </c>
      <c r="M32" cm="1">
        <f t="array" ref="M32">_xlfn.IFS(L32="Low risk",1,L32="Mod risk",2,L32="high risk",3)</f>
        <v>1</v>
      </c>
    </row>
    <row r="33" spans="1:13" ht="18" customHeight="1" x14ac:dyDescent="0.3">
      <c r="A33" s="7" t="s">
        <v>35</v>
      </c>
      <c r="B33" s="14">
        <v>17110</v>
      </c>
      <c r="C33" s="14">
        <v>391</v>
      </c>
      <c r="D33" s="14">
        <v>14539</v>
      </c>
      <c r="E33" s="14">
        <v>2180</v>
      </c>
      <c r="F33" s="14">
        <v>26606188</v>
      </c>
      <c r="G33" s="7" t="s">
        <v>197</v>
      </c>
      <c r="H33" s="15">
        <v>43896</v>
      </c>
      <c r="I33" s="23">
        <f t="shared" si="0"/>
        <v>2.2852133255406196E-2</v>
      </c>
      <c r="J33" s="24">
        <f t="shared" si="1"/>
        <v>0.84973699590882523</v>
      </c>
      <c r="K33" s="25">
        <f t="shared" si="2"/>
        <v>6.4308348118114476E-4</v>
      </c>
      <c r="L33" t="str" cm="1">
        <f t="array" ref="L33">_xlfn.IFS(I33&gt;5%,"High risk",AND(I33&gt;=2%,I33&lt;=5%),"Mod risk",I33&lt;2%,"Low risk")</f>
        <v>Mod risk</v>
      </c>
      <c r="M33" cm="1">
        <f t="array" ref="M33">_xlfn.IFS(L33="Low risk",1,L33="Mod risk",2,L33="high risk",3)</f>
        <v>2</v>
      </c>
    </row>
    <row r="34" spans="1:13" ht="18" customHeight="1" x14ac:dyDescent="0.3">
      <c r="A34" s="6" t="s">
        <v>36</v>
      </c>
      <c r="B34" s="12">
        <v>116458</v>
      </c>
      <c r="C34" s="12">
        <v>8944</v>
      </c>
      <c r="D34" s="12">
        <v>0</v>
      </c>
      <c r="E34" s="12">
        <v>107514</v>
      </c>
      <c r="F34" s="12">
        <v>37775022</v>
      </c>
      <c r="G34" s="6" t="s">
        <v>198</v>
      </c>
      <c r="H34" s="13">
        <v>43855</v>
      </c>
      <c r="I34" s="23">
        <f t="shared" si="0"/>
        <v>7.6800219821738305E-2</v>
      </c>
      <c r="J34" s="24">
        <f t="shared" si="1"/>
        <v>0</v>
      </c>
      <c r="K34" s="25">
        <f t="shared" si="2"/>
        <v>3.0829366558674672E-3</v>
      </c>
      <c r="L34" t="str" cm="1">
        <f t="array" ref="L34">_xlfn.IFS(I34&gt;5%,"High risk",AND(I34&gt;=2%,I34&lt;=5%),"Mod risk",I34&lt;2%,"Low risk")</f>
        <v>High risk</v>
      </c>
      <c r="M34" cm="1">
        <f t="array" ref="M34">_xlfn.IFS(L34="Low risk",1,L34="Mod risk",2,L34="high risk",3)</f>
        <v>3</v>
      </c>
    </row>
    <row r="35" spans="1:13" ht="18" customHeight="1" x14ac:dyDescent="0.3">
      <c r="A35" s="7" t="s">
        <v>37</v>
      </c>
      <c r="B35" s="14">
        <v>4599</v>
      </c>
      <c r="C35" s="14">
        <v>59</v>
      </c>
      <c r="D35" s="14">
        <v>1546</v>
      </c>
      <c r="E35" s="14">
        <v>2994</v>
      </c>
      <c r="F35" s="14">
        <v>4837752</v>
      </c>
      <c r="G35" s="7" t="s">
        <v>197</v>
      </c>
      <c r="H35" s="15">
        <v>43904</v>
      </c>
      <c r="I35" s="23">
        <f t="shared" si="0"/>
        <v>1.2828875842574472E-2</v>
      </c>
      <c r="J35" s="24">
        <f t="shared" si="1"/>
        <v>0.33616003479017176</v>
      </c>
      <c r="K35" s="25">
        <f t="shared" si="2"/>
        <v>9.5064815228229974E-4</v>
      </c>
      <c r="L35" t="str" cm="1">
        <f t="array" ref="L35">_xlfn.IFS(I35&gt;5%,"High risk",AND(I35&gt;=2%,I35&lt;=5%),"Mod risk",I35&lt;2%,"Low risk")</f>
        <v>Low risk</v>
      </c>
      <c r="M35" cm="1">
        <f t="array" ref="M35">_xlfn.IFS(L35="Low risk",1,L35="Mod risk",2,L35="high risk",3)</f>
        <v>1</v>
      </c>
    </row>
    <row r="36" spans="1:13" ht="18" customHeight="1" x14ac:dyDescent="0.3">
      <c r="A36" s="6" t="s">
        <v>38</v>
      </c>
      <c r="B36" s="12">
        <v>922</v>
      </c>
      <c r="C36" s="12">
        <v>75</v>
      </c>
      <c r="D36" s="12">
        <v>810</v>
      </c>
      <c r="E36" s="12">
        <v>37</v>
      </c>
      <c r="F36" s="16" t="s">
        <v>206</v>
      </c>
      <c r="G36" s="6" t="s">
        <v>197</v>
      </c>
      <c r="H36" s="13">
        <v>43909</v>
      </c>
      <c r="I36" s="23">
        <f t="shared" si="0"/>
        <v>8.1344902386117135E-2</v>
      </c>
      <c r="J36" s="24">
        <f t="shared" si="1"/>
        <v>0.87852494577006512</v>
      </c>
      <c r="K36" s="25" t="e">
        <f t="shared" si="2"/>
        <v>#VALUE!</v>
      </c>
      <c r="L36" t="str" cm="1">
        <f t="array" ref="L36">_xlfn.IFS(I36&gt;5%,"High risk",AND(I36&gt;=2%,I36&lt;=5%),"Mod risk",I36&lt;2%,"Low risk")</f>
        <v>High risk</v>
      </c>
      <c r="M36" cm="1">
        <f t="array" ref="M36">_xlfn.IFS(L36="Low risk",1,L36="Mod risk",2,L36="high risk",3)</f>
        <v>3</v>
      </c>
    </row>
    <row r="37" spans="1:13" ht="18" customHeight="1" x14ac:dyDescent="0.3">
      <c r="A37" s="7" t="s">
        <v>39</v>
      </c>
      <c r="B37" s="14">
        <v>347923</v>
      </c>
      <c r="C37" s="14">
        <v>9187</v>
      </c>
      <c r="D37" s="14">
        <v>319954</v>
      </c>
      <c r="E37" s="14">
        <v>18782</v>
      </c>
      <c r="F37" s="14">
        <v>19132514</v>
      </c>
      <c r="G37" s="7" t="s">
        <v>199</v>
      </c>
      <c r="H37" s="15">
        <v>43893</v>
      </c>
      <c r="I37" s="23">
        <f t="shared" si="0"/>
        <v>2.6405267832250241E-2</v>
      </c>
      <c r="J37" s="24">
        <f t="shared" si="1"/>
        <v>0.91961152323933748</v>
      </c>
      <c r="K37" s="25">
        <f t="shared" si="2"/>
        <v>1.8184907639424697E-2</v>
      </c>
      <c r="L37" t="str" cm="1">
        <f t="array" ref="L37">_xlfn.IFS(I37&gt;5%,"High risk",AND(I37&gt;=2%,I37&lt;=5%),"Mod risk",I37&lt;2%,"Low risk")</f>
        <v>Mod risk</v>
      </c>
      <c r="M37" cm="1">
        <f t="array" ref="M37">_xlfn.IFS(L37="Low risk",1,L37="Mod risk",2,L37="high risk",3)</f>
        <v>2</v>
      </c>
    </row>
    <row r="38" spans="1:13" ht="18" customHeight="1" x14ac:dyDescent="0.3">
      <c r="A38" s="6" t="s">
        <v>40</v>
      </c>
      <c r="B38" s="12">
        <v>86783</v>
      </c>
      <c r="C38" s="12">
        <v>4656</v>
      </c>
      <c r="D38" s="12">
        <v>78869</v>
      </c>
      <c r="E38" s="12">
        <v>3258</v>
      </c>
      <c r="F38" s="16">
        <v>1411778724</v>
      </c>
      <c r="G38" s="6" t="s">
        <v>197</v>
      </c>
      <c r="H38" s="13">
        <v>43786</v>
      </c>
      <c r="I38" s="23">
        <f t="shared" si="0"/>
        <v>5.365106069161011E-2</v>
      </c>
      <c r="J38" s="24">
        <f t="shared" si="1"/>
        <v>0.90880702441722461</v>
      </c>
      <c r="K38" s="25">
        <f t="shared" si="2"/>
        <v>6.1470681293536756E-5</v>
      </c>
      <c r="L38" t="str" cm="1">
        <f t="array" ref="L38">_xlfn.IFS(I38&gt;5%,"High risk",AND(I38&gt;=2%,I38&lt;=5%),"Mod risk",I38&lt;2%,"Low risk")</f>
        <v>High risk</v>
      </c>
      <c r="M38" cm="1">
        <f t="array" ref="M38">_xlfn.IFS(L38="Low risk",1,L38="Mod risk",2,L38="high risk",3)</f>
        <v>3</v>
      </c>
    </row>
    <row r="39" spans="1:13" ht="18" customHeight="1" x14ac:dyDescent="0.3">
      <c r="A39" s="7" t="s">
        <v>41</v>
      </c>
      <c r="B39" s="14">
        <v>257101</v>
      </c>
      <c r="C39" s="14">
        <v>8777</v>
      </c>
      <c r="D39" s="14">
        <v>131161</v>
      </c>
      <c r="E39" s="14">
        <v>117163</v>
      </c>
      <c r="F39" s="14">
        <v>50936262</v>
      </c>
      <c r="G39" s="7" t="s">
        <v>199</v>
      </c>
      <c r="H39" s="15">
        <v>43896</v>
      </c>
      <c r="I39" s="23">
        <f t="shared" si="0"/>
        <v>3.4138334740043796E-2</v>
      </c>
      <c r="J39" s="24">
        <f t="shared" si="1"/>
        <v>0.51015359722443709</v>
      </c>
      <c r="K39" s="25">
        <f t="shared" si="2"/>
        <v>5.0475042711222119E-3</v>
      </c>
      <c r="L39" t="str" cm="1">
        <f t="array" ref="L39">_xlfn.IFS(I39&gt;5%,"High risk",AND(I39&gt;=2%,I39&lt;=5%),"Mod risk",I39&lt;2%,"Low risk")</f>
        <v>Mod risk</v>
      </c>
      <c r="M39" cm="1">
        <f t="array" ref="M39">_xlfn.IFS(L39="Low risk",1,L39="Mod risk",2,L39="high risk",3)</f>
        <v>2</v>
      </c>
    </row>
    <row r="40" spans="1:13" ht="18" customHeight="1" x14ac:dyDescent="0.3">
      <c r="A40" s="6" t="s">
        <v>42</v>
      </c>
      <c r="B40" s="12">
        <v>354</v>
      </c>
      <c r="C40" s="12">
        <v>7</v>
      </c>
      <c r="D40" s="12">
        <v>328</v>
      </c>
      <c r="E40" s="12">
        <v>19</v>
      </c>
      <c r="F40" s="12">
        <v>871326</v>
      </c>
      <c r="G40" s="6" t="s">
        <v>197</v>
      </c>
      <c r="H40" s="13">
        <v>43951</v>
      </c>
      <c r="I40" s="23">
        <f t="shared" si="0"/>
        <v>1.977401129943503E-2</v>
      </c>
      <c r="J40" s="24">
        <f t="shared" si="1"/>
        <v>0.92655367231638419</v>
      </c>
      <c r="K40" s="25">
        <f t="shared" si="2"/>
        <v>4.0627732903643414E-4</v>
      </c>
      <c r="L40" t="str" cm="1">
        <f t="array" ref="L40">_xlfn.IFS(I40&gt;5%,"High risk",AND(I40&gt;=2%,I40&lt;=5%),"Mod risk",I40&lt;2%,"Low risk")</f>
        <v>Low risk</v>
      </c>
      <c r="M40" cm="1">
        <f t="array" ref="M40">_xlfn.IFS(L40="Low risk",1,L40="Mod risk",2,L40="high risk",3)</f>
        <v>1</v>
      </c>
    </row>
    <row r="41" spans="1:13" ht="18" customHeight="1" x14ac:dyDescent="0.3">
      <c r="A41" s="7" t="s">
        <v>43</v>
      </c>
      <c r="B41" s="14">
        <v>3200</v>
      </c>
      <c r="C41" s="14">
        <v>54</v>
      </c>
      <c r="D41" s="14">
        <v>829</v>
      </c>
      <c r="E41" s="14">
        <v>2317</v>
      </c>
      <c r="F41" s="14">
        <v>5530506</v>
      </c>
      <c r="G41" s="7" t="s">
        <v>197</v>
      </c>
      <c r="H41" s="15">
        <v>43904</v>
      </c>
      <c r="I41" s="23">
        <f t="shared" si="0"/>
        <v>1.6875000000000001E-2</v>
      </c>
      <c r="J41" s="24">
        <f t="shared" si="1"/>
        <v>0.25906249999999997</v>
      </c>
      <c r="K41" s="25">
        <f t="shared" si="2"/>
        <v>5.7860890124701071E-4</v>
      </c>
      <c r="L41" t="str" cm="1">
        <f t="array" ref="L41">_xlfn.IFS(I41&gt;5%,"High risk",AND(I41&gt;=2%,I41&lt;=5%),"Mod risk",I41&lt;2%,"Low risk")</f>
        <v>Low risk</v>
      </c>
      <c r="M41" cm="1">
        <f t="array" ref="M41">_xlfn.IFS(L41="Low risk",1,L41="Mod risk",2,L41="high risk",3)</f>
        <v>1</v>
      </c>
    </row>
    <row r="42" spans="1:13" ht="18" customHeight="1" x14ac:dyDescent="0.3">
      <c r="A42" s="6" t="s">
        <v>44</v>
      </c>
      <c r="B42" s="12">
        <v>8844</v>
      </c>
      <c r="C42" s="12">
        <v>208</v>
      </c>
      <c r="D42" s="12">
        <v>5700</v>
      </c>
      <c r="E42" s="12">
        <v>2936</v>
      </c>
      <c r="F42" s="16">
        <v>96076573</v>
      </c>
      <c r="G42" s="6" t="s">
        <v>197</v>
      </c>
      <c r="H42" s="13">
        <v>43900</v>
      </c>
      <c r="I42" s="23">
        <f t="shared" si="0"/>
        <v>2.3518769787426504E-2</v>
      </c>
      <c r="J42" s="24">
        <f t="shared" si="1"/>
        <v>0.64450474898236088</v>
      </c>
      <c r="K42" s="25">
        <f t="shared" si="2"/>
        <v>9.2051576402501362E-5</v>
      </c>
      <c r="L42" t="str" cm="1">
        <f t="array" ref="L42">_xlfn.IFS(I42&gt;5%,"High risk",AND(I42&gt;=2%,I42&lt;=5%),"Mod risk",I42&lt;2%,"Low risk")</f>
        <v>Mod risk</v>
      </c>
      <c r="M42" cm="1">
        <f t="array" ref="M42">_xlfn.IFS(L42="Low risk",1,L42="Mod risk",2,L42="high risk",3)</f>
        <v>2</v>
      </c>
    </row>
    <row r="43" spans="1:13" ht="18" customHeight="1" x14ac:dyDescent="0.3">
      <c r="A43" s="7" t="s">
        <v>45</v>
      </c>
      <c r="B43" s="14">
        <v>15841</v>
      </c>
      <c r="C43" s="14">
        <v>115</v>
      </c>
      <c r="D43" s="14">
        <v>3824</v>
      </c>
      <c r="E43" s="14">
        <v>11902</v>
      </c>
      <c r="F43" s="14">
        <v>5098730</v>
      </c>
      <c r="G43" s="7" t="s">
        <v>198</v>
      </c>
      <c r="H43" s="15">
        <v>43896</v>
      </c>
      <c r="I43" s="23">
        <f t="shared" si="0"/>
        <v>7.2596426993245377E-3</v>
      </c>
      <c r="J43" s="24">
        <f t="shared" si="1"/>
        <v>0.24139890158449592</v>
      </c>
      <c r="K43" s="25">
        <f t="shared" si="2"/>
        <v>3.1068520984637352E-3</v>
      </c>
      <c r="L43" t="str" cm="1">
        <f t="array" ref="L43">_xlfn.IFS(I43&gt;5%,"High risk",AND(I43&gt;=2%,I43&lt;=5%),"Mod risk",I43&lt;2%,"Low risk")</f>
        <v>Low risk</v>
      </c>
      <c r="M43" cm="1">
        <f t="array" ref="M43">_xlfn.IFS(L43="Low risk",1,L43="Mod risk",2,L43="high risk",3)</f>
        <v>1</v>
      </c>
    </row>
    <row r="44" spans="1:13" ht="18" customHeight="1" x14ac:dyDescent="0.3">
      <c r="A44" s="6" t="s">
        <v>46</v>
      </c>
      <c r="B44" s="12">
        <v>15655</v>
      </c>
      <c r="C44" s="12">
        <v>96</v>
      </c>
      <c r="D44" s="12">
        <v>10361</v>
      </c>
      <c r="E44" s="12">
        <v>5198</v>
      </c>
      <c r="F44" s="16">
        <v>26172000</v>
      </c>
      <c r="G44" s="6" t="s">
        <v>197</v>
      </c>
      <c r="H44" s="13">
        <v>43901</v>
      </c>
      <c r="I44" s="23">
        <f t="shared" si="0"/>
        <v>6.1322261258383902E-3</v>
      </c>
      <c r="J44" s="24">
        <f t="shared" si="1"/>
        <v>0.66183328010220377</v>
      </c>
      <c r="K44" s="25">
        <f t="shared" si="2"/>
        <v>5.9815833715421058E-4</v>
      </c>
      <c r="L44" t="str" cm="1">
        <f t="array" ref="L44">_xlfn.IFS(I44&gt;5%,"High risk",AND(I44&gt;=2%,I44&lt;=5%),"Mod risk",I44&lt;2%,"Low risk")</f>
        <v>Low risk</v>
      </c>
      <c r="M44" cm="1">
        <f t="array" ref="M44">_xlfn.IFS(L44="Low risk",1,L44="Mod risk",2,L44="high risk",3)</f>
        <v>1</v>
      </c>
    </row>
    <row r="45" spans="1:13" ht="18" customHeight="1" x14ac:dyDescent="0.3">
      <c r="A45" s="7" t="s">
        <v>47</v>
      </c>
      <c r="B45" s="14">
        <v>4881</v>
      </c>
      <c r="C45" s="14">
        <v>139</v>
      </c>
      <c r="D45" s="14">
        <v>3936</v>
      </c>
      <c r="E45" s="14">
        <v>806</v>
      </c>
      <c r="F45" s="14">
        <v>4102577</v>
      </c>
      <c r="G45" s="7" t="s">
        <v>196</v>
      </c>
      <c r="H45" s="15">
        <v>43886</v>
      </c>
      <c r="I45" s="23">
        <f t="shared" si="0"/>
        <v>2.8477770948576113E-2</v>
      </c>
      <c r="J45" s="24">
        <f t="shared" si="1"/>
        <v>0.80639213275968036</v>
      </c>
      <c r="K45" s="25">
        <f t="shared" si="2"/>
        <v>1.1897400097548444E-3</v>
      </c>
      <c r="L45" t="str" cm="1">
        <f t="array" ref="L45">_xlfn.IFS(I45&gt;5%,"High risk",AND(I45&gt;=2%,I45&lt;=5%),"Mod risk",I45&lt;2%,"Low risk")</f>
        <v>Mod risk</v>
      </c>
      <c r="M45" cm="1">
        <f t="array" ref="M45">_xlfn.IFS(L45="Low risk",1,L45="Mod risk",2,L45="high risk",3)</f>
        <v>2</v>
      </c>
    </row>
    <row r="46" spans="1:13" ht="18" customHeight="1" x14ac:dyDescent="0.3">
      <c r="A46" s="6" t="s">
        <v>48</v>
      </c>
      <c r="B46" s="12">
        <v>2532</v>
      </c>
      <c r="C46" s="12">
        <v>87</v>
      </c>
      <c r="D46" s="12">
        <v>2351</v>
      </c>
      <c r="E46" s="12">
        <v>94</v>
      </c>
      <c r="F46" s="12">
        <v>11325899</v>
      </c>
      <c r="G46" s="6" t="s">
        <v>198</v>
      </c>
      <c r="H46" s="13">
        <v>43901</v>
      </c>
      <c r="I46" s="23">
        <f t="shared" si="0"/>
        <v>3.4360189573459717E-2</v>
      </c>
      <c r="J46" s="24">
        <f t="shared" si="1"/>
        <v>0.92851500789889418</v>
      </c>
      <c r="K46" s="25">
        <f t="shared" si="2"/>
        <v>2.2355841244920161E-4</v>
      </c>
      <c r="L46" t="str" cm="1">
        <f t="array" ref="L46">_xlfn.IFS(I46&gt;5%,"High risk",AND(I46&gt;=2%,I46&lt;=5%),"Mod risk",I46&lt;2%,"Low risk")</f>
        <v>Mod risk</v>
      </c>
      <c r="M46" cm="1">
        <f t="array" ref="M46">_xlfn.IFS(L46="Low risk",1,L46="Mod risk",2,L46="high risk",3)</f>
        <v>2</v>
      </c>
    </row>
    <row r="47" spans="1:13" ht="18" customHeight="1" x14ac:dyDescent="0.3">
      <c r="A47" s="7" t="s">
        <v>49</v>
      </c>
      <c r="B47" s="14">
        <v>1060</v>
      </c>
      <c r="C47" s="14">
        <v>19</v>
      </c>
      <c r="D47" s="14">
        <v>852</v>
      </c>
      <c r="E47" s="14">
        <v>189</v>
      </c>
      <c r="F47" s="14">
        <v>1208238</v>
      </c>
      <c r="G47" s="7" t="s">
        <v>195</v>
      </c>
      <c r="H47" s="15">
        <v>43899</v>
      </c>
      <c r="I47" s="23">
        <f t="shared" si="0"/>
        <v>1.7924528301886792E-2</v>
      </c>
      <c r="J47" s="24">
        <f t="shared" si="1"/>
        <v>0.80377358490566042</v>
      </c>
      <c r="K47" s="25">
        <f t="shared" si="2"/>
        <v>8.7731059609116749E-4</v>
      </c>
      <c r="L47" t="str" cm="1">
        <f t="array" ref="L47">_xlfn.IFS(I47&gt;5%,"High risk",AND(I47&gt;=2%,I47&lt;=5%),"Mod risk",I47&lt;2%,"Low risk")</f>
        <v>Low risk</v>
      </c>
      <c r="M47" cm="1">
        <f t="array" ref="M47">_xlfn.IFS(L47="Low risk",1,L47="Mod risk",2,L47="high risk",3)</f>
        <v>1</v>
      </c>
    </row>
    <row r="48" spans="1:13" ht="18" customHeight="1" x14ac:dyDescent="0.3">
      <c r="A48" s="6" t="s">
        <v>50</v>
      </c>
      <c r="B48" s="12">
        <v>15516</v>
      </c>
      <c r="C48" s="12">
        <v>373</v>
      </c>
      <c r="D48" s="12">
        <v>11428</v>
      </c>
      <c r="E48" s="12">
        <v>3715</v>
      </c>
      <c r="F48" s="12">
        <v>10711019</v>
      </c>
      <c r="G48" s="6" t="s">
        <v>196</v>
      </c>
      <c r="H48" s="13">
        <v>43891</v>
      </c>
      <c r="I48" s="23">
        <f t="shared" si="0"/>
        <v>2.4039700953854087E-2</v>
      </c>
      <c r="J48" s="24">
        <f t="shared" si="1"/>
        <v>0.7365300335137922</v>
      </c>
      <c r="K48" s="25">
        <f t="shared" si="2"/>
        <v>1.4486016689915311E-3</v>
      </c>
      <c r="L48" t="str" cm="1">
        <f t="array" ref="L48">_xlfn.IFS(I48&gt;5%,"High risk",AND(I48&gt;=2%,I48&lt;=5%),"Mod risk",I48&lt;2%,"Low risk")</f>
        <v>Mod risk</v>
      </c>
      <c r="M48" cm="1">
        <f t="array" ref="M48">_xlfn.IFS(L48="Low risk",1,L48="Mod risk",2,L48="high risk",3)</f>
        <v>2</v>
      </c>
    </row>
    <row r="49" spans="1:13" ht="18" customHeight="1" x14ac:dyDescent="0.3">
      <c r="A49" s="7" t="s">
        <v>51</v>
      </c>
      <c r="B49" s="14">
        <v>13761</v>
      </c>
      <c r="C49" s="14">
        <v>613</v>
      </c>
      <c r="D49" s="14">
        <v>12605</v>
      </c>
      <c r="E49" s="14">
        <v>543</v>
      </c>
      <c r="F49" s="14">
        <v>5794279</v>
      </c>
      <c r="G49" s="7" t="s">
        <v>196</v>
      </c>
      <c r="H49" s="15">
        <v>43888</v>
      </c>
      <c r="I49" s="23">
        <f t="shared" si="0"/>
        <v>4.454618123682872E-2</v>
      </c>
      <c r="J49" s="24">
        <f t="shared" si="1"/>
        <v>0.91599447714555626</v>
      </c>
      <c r="K49" s="25">
        <f t="shared" si="2"/>
        <v>2.3749287875160997E-3</v>
      </c>
      <c r="L49" t="str" cm="1">
        <f t="array" ref="L49">_xlfn.IFS(I49&gt;5%,"High risk",AND(I49&gt;=2%,I49&lt;=5%),"Mod risk",I49&lt;2%,"Low risk")</f>
        <v>Mod risk</v>
      </c>
      <c r="M49" cm="1">
        <f t="array" ref="M49">_xlfn.IFS(L49="Low risk",1,L49="Mod risk",2,L49="high risk",3)</f>
        <v>2</v>
      </c>
    </row>
    <row r="50" spans="1:13" ht="18" customHeight="1" x14ac:dyDescent="0.3">
      <c r="A50" s="6" t="s">
        <v>52</v>
      </c>
      <c r="B50" s="12">
        <v>5059</v>
      </c>
      <c r="C50" s="12">
        <v>58</v>
      </c>
      <c r="D50" s="12">
        <v>4977</v>
      </c>
      <c r="E50" s="12">
        <v>24</v>
      </c>
      <c r="F50" s="12">
        <v>989387</v>
      </c>
      <c r="G50" s="6" t="s">
        <v>197</v>
      </c>
      <c r="H50" s="13">
        <v>43908</v>
      </c>
      <c r="I50" s="23">
        <f t="shared" si="0"/>
        <v>1.1464716347104172E-2</v>
      </c>
      <c r="J50" s="24">
        <f t="shared" si="1"/>
        <v>0.98379126309547338</v>
      </c>
      <c r="K50" s="25">
        <f t="shared" si="2"/>
        <v>5.1132671037723357E-3</v>
      </c>
      <c r="L50" t="str" cm="1">
        <f t="array" ref="L50">_xlfn.IFS(I50&gt;5%,"High risk",AND(I50&gt;=2%,I50&lt;=5%),"Mod risk",I50&lt;2%,"Low risk")</f>
        <v>Low risk</v>
      </c>
      <c r="M50" cm="1">
        <f t="array" ref="M50">_xlfn.IFS(L50="Low risk",1,L50="Mod risk",2,L50="high risk",3)</f>
        <v>1</v>
      </c>
    </row>
    <row r="51" spans="1:13" ht="18" customHeight="1" x14ac:dyDescent="0.3">
      <c r="A51" s="7" t="s">
        <v>53</v>
      </c>
      <c r="B51" s="14">
        <v>18</v>
      </c>
      <c r="C51" s="14">
        <v>0</v>
      </c>
      <c r="D51" s="14">
        <v>18</v>
      </c>
      <c r="E51" s="14">
        <v>0</v>
      </c>
      <c r="F51" s="14">
        <v>72004</v>
      </c>
      <c r="G51" s="7" t="s">
        <v>198</v>
      </c>
      <c r="H51" s="15">
        <v>43912</v>
      </c>
      <c r="I51" s="23">
        <f t="shared" si="0"/>
        <v>0</v>
      </c>
      <c r="J51" s="24">
        <f t="shared" si="1"/>
        <v>1</v>
      </c>
      <c r="K51" s="25">
        <f t="shared" si="2"/>
        <v>2.4998611188267316E-4</v>
      </c>
      <c r="L51" t="str" cm="1">
        <f t="array" ref="L51">_xlfn.IFS(I51&gt;5%,"High risk",AND(I51&gt;=2%,I51&lt;=5%),"Mod risk",I51&lt;2%,"Low risk")</f>
        <v>Low risk</v>
      </c>
      <c r="M51" cm="1">
        <f t="array" ref="M51">_xlfn.IFS(L51="Low risk",1,L51="Mod risk",2,L51="high risk",3)</f>
        <v>1</v>
      </c>
    </row>
    <row r="52" spans="1:13" ht="18" customHeight="1" x14ac:dyDescent="0.3">
      <c r="A52" s="6" t="s">
        <v>54</v>
      </c>
      <c r="B52" s="12">
        <v>64156</v>
      </c>
      <c r="C52" s="12">
        <v>1083</v>
      </c>
      <c r="D52" s="12">
        <v>30204</v>
      </c>
      <c r="E52" s="12">
        <v>32869</v>
      </c>
      <c r="F52" s="12">
        <v>10858648</v>
      </c>
      <c r="G52" s="6" t="s">
        <v>198</v>
      </c>
      <c r="H52" s="13">
        <v>43891</v>
      </c>
      <c r="I52" s="23">
        <f t="shared" si="0"/>
        <v>1.688072822495168E-2</v>
      </c>
      <c r="J52" s="24">
        <f t="shared" si="1"/>
        <v>0.47078994949809838</v>
      </c>
      <c r="K52" s="25">
        <f t="shared" si="2"/>
        <v>5.9082861881147638E-3</v>
      </c>
      <c r="L52" t="str" cm="1">
        <f t="array" ref="L52">_xlfn.IFS(I52&gt;5%,"High risk",AND(I52&gt;=2%,I52&lt;=5%),"Mod risk",I52&lt;2%,"Low risk")</f>
        <v>Low risk</v>
      </c>
      <c r="M52" cm="1">
        <f t="array" ref="M52">_xlfn.IFS(L52="Low risk",1,L52="Mod risk",2,L52="high risk",3)</f>
        <v>1</v>
      </c>
    </row>
    <row r="53" spans="1:13" ht="18" customHeight="1" x14ac:dyDescent="0.3">
      <c r="A53" s="7" t="s">
        <v>55</v>
      </c>
      <c r="B53" s="14">
        <v>81161</v>
      </c>
      <c r="C53" s="14">
        <v>5532</v>
      </c>
      <c r="D53" s="14">
        <v>34896</v>
      </c>
      <c r="E53" s="14">
        <v>40733</v>
      </c>
      <c r="F53" s="14">
        <v>17668824</v>
      </c>
      <c r="G53" s="7" t="s">
        <v>199</v>
      </c>
      <c r="H53" s="15">
        <v>43890</v>
      </c>
      <c r="I53" s="23">
        <f t="shared" si="0"/>
        <v>6.8160816155542689E-2</v>
      </c>
      <c r="J53" s="24">
        <f t="shared" si="1"/>
        <v>0.42996020256034301</v>
      </c>
      <c r="K53" s="25">
        <f t="shared" si="2"/>
        <v>4.5934579460410038E-3</v>
      </c>
      <c r="L53" t="str" cm="1">
        <f t="array" ref="L53">_xlfn.IFS(I53&gt;5%,"High risk",AND(I53&gt;=2%,I53&lt;=5%),"Mod risk",I53&lt;2%,"Low risk")</f>
        <v>High risk</v>
      </c>
      <c r="M53" cm="1">
        <f t="array" ref="M53">_xlfn.IFS(L53="Low risk",1,L53="Mod risk",2,L53="high risk",3)</f>
        <v>3</v>
      </c>
    </row>
    <row r="54" spans="1:13" ht="18" customHeight="1" x14ac:dyDescent="0.3">
      <c r="A54" s="6" t="s">
        <v>56</v>
      </c>
      <c r="B54" s="12">
        <v>92482</v>
      </c>
      <c r="C54" s="12">
        <v>4652</v>
      </c>
      <c r="D54" s="12">
        <v>34838</v>
      </c>
      <c r="E54" s="12">
        <v>52992</v>
      </c>
      <c r="F54" s="12">
        <v>102516525</v>
      </c>
      <c r="G54" s="6" t="s">
        <v>197</v>
      </c>
      <c r="H54" s="13">
        <v>43875</v>
      </c>
      <c r="I54" s="23">
        <f t="shared" si="0"/>
        <v>5.0301680326982547E-2</v>
      </c>
      <c r="J54" s="24">
        <f t="shared" si="1"/>
        <v>0.37670033087519733</v>
      </c>
      <c r="K54" s="25">
        <f t="shared" si="2"/>
        <v>9.0211797561417541E-4</v>
      </c>
      <c r="L54" t="str" cm="1">
        <f t="array" ref="L54">_xlfn.IFS(I54&gt;5%,"High risk",AND(I54&gt;=2%,I54&lt;=5%),"Mod risk",I54&lt;2%,"Low risk")</f>
        <v>High risk</v>
      </c>
      <c r="M54" cm="1">
        <f t="array" ref="M54">_xlfn.IFS(L54="Low risk",1,L54="Mod risk",2,L54="high risk",3)</f>
        <v>3</v>
      </c>
    </row>
    <row r="55" spans="1:13" ht="18" customHeight="1" x14ac:dyDescent="0.3">
      <c r="A55" s="7" t="s">
        <v>57</v>
      </c>
      <c r="B55" s="14">
        <v>15035</v>
      </c>
      <c r="C55" s="14">
        <v>408</v>
      </c>
      <c r="D55" s="14">
        <v>7778</v>
      </c>
      <c r="E55" s="14">
        <v>6849</v>
      </c>
      <c r="F55" s="14">
        <v>6489514</v>
      </c>
      <c r="G55" s="7" t="s">
        <v>198</v>
      </c>
      <c r="H55" s="15">
        <v>43909</v>
      </c>
      <c r="I55" s="23">
        <f t="shared" si="0"/>
        <v>2.7136681077485868E-2</v>
      </c>
      <c r="J55" s="24">
        <f t="shared" si="1"/>
        <v>0.51732623877618888</v>
      </c>
      <c r="K55" s="25">
        <f t="shared" si="2"/>
        <v>2.3168144794818227E-3</v>
      </c>
      <c r="L55" t="str" cm="1">
        <f t="array" ref="L55">_xlfn.IFS(I55&gt;5%,"High risk",AND(I55&gt;=2%,I55&lt;=5%),"Mod risk",I55&lt;2%,"Low risk")</f>
        <v>Mod risk</v>
      </c>
      <c r="M55" cm="1">
        <f t="array" ref="M55">_xlfn.IFS(L55="Low risk",1,L55="Mod risk",2,L55="high risk",3)</f>
        <v>2</v>
      </c>
    </row>
    <row r="56" spans="1:13" ht="18" customHeight="1" x14ac:dyDescent="0.3">
      <c r="A56" s="6" t="s">
        <v>58</v>
      </c>
      <c r="B56" s="12">
        <v>3071</v>
      </c>
      <c r="C56" s="12">
        <v>51</v>
      </c>
      <c r="D56" s="12">
        <v>842</v>
      </c>
      <c r="E56" s="12">
        <v>2178</v>
      </c>
      <c r="F56" s="12">
        <v>1407001</v>
      </c>
      <c r="G56" s="6" t="s">
        <v>197</v>
      </c>
      <c r="H56" s="13">
        <v>43904</v>
      </c>
      <c r="I56" s="23">
        <f t="shared" si="0"/>
        <v>1.6606968414197329E-2</v>
      </c>
      <c r="J56" s="24">
        <f t="shared" si="1"/>
        <v>0.27417779225008143</v>
      </c>
      <c r="K56" s="25">
        <f t="shared" si="2"/>
        <v>2.1826565865980196E-3</v>
      </c>
      <c r="L56" t="str" cm="1">
        <f t="array" ref="L56">_xlfn.IFS(I56&gt;5%,"High risk",AND(I56&gt;=2%,I56&lt;=5%),"Mod risk",I56&lt;2%,"Low risk")</f>
        <v>Low risk</v>
      </c>
      <c r="M56" cm="1">
        <f t="array" ref="M56">_xlfn.IFS(L56="Low risk",1,L56="Mod risk",2,L56="high risk",3)</f>
        <v>1</v>
      </c>
    </row>
    <row r="57" spans="1:13" ht="18" customHeight="1" x14ac:dyDescent="0.3">
      <c r="A57" s="7" t="s">
        <v>59</v>
      </c>
      <c r="B57" s="14">
        <v>265</v>
      </c>
      <c r="C57" s="14">
        <v>0</v>
      </c>
      <c r="D57" s="14">
        <v>191</v>
      </c>
      <c r="E57" s="14">
        <v>74</v>
      </c>
      <c r="F57" s="14">
        <v>3551175</v>
      </c>
      <c r="G57" s="7" t="s">
        <v>197</v>
      </c>
      <c r="H57" s="15">
        <v>43911</v>
      </c>
      <c r="I57" s="23">
        <f t="shared" si="0"/>
        <v>0</v>
      </c>
      <c r="J57" s="24">
        <f t="shared" si="1"/>
        <v>0.72075471698113203</v>
      </c>
      <c r="K57" s="25">
        <f t="shared" si="2"/>
        <v>7.4623188099713479E-5</v>
      </c>
      <c r="L57" t="str" cm="1">
        <f t="array" ref="L57">_xlfn.IFS(I57&gt;5%,"High risk",AND(I57&gt;=2%,I57&lt;=5%),"Mod risk",I57&lt;2%,"Low risk")</f>
        <v>Low risk</v>
      </c>
      <c r="M57" cm="1">
        <f t="array" ref="M57">_xlfn.IFS(L57="Low risk",1,L57="Mod risk",2,L57="high risk",3)</f>
        <v>1</v>
      </c>
    </row>
    <row r="58" spans="1:13" ht="18" customHeight="1" x14ac:dyDescent="0.3">
      <c r="A58" s="6" t="s">
        <v>60</v>
      </c>
      <c r="B58" s="12">
        <v>2034</v>
      </c>
      <c r="C58" s="12">
        <v>69</v>
      </c>
      <c r="D58" s="12">
        <v>1923</v>
      </c>
      <c r="E58" s="12">
        <v>42</v>
      </c>
      <c r="F58" s="12">
        <v>1326627</v>
      </c>
      <c r="G58" s="6" t="s">
        <v>196</v>
      </c>
      <c r="H58" s="13">
        <v>43888</v>
      </c>
      <c r="I58" s="23">
        <f t="shared" si="0"/>
        <v>3.3923303834808259E-2</v>
      </c>
      <c r="J58" s="24">
        <f t="shared" si="1"/>
        <v>0.94542772861356927</v>
      </c>
      <c r="K58" s="25">
        <f t="shared" si="2"/>
        <v>1.5332116714042456E-3</v>
      </c>
      <c r="L58" t="str" cm="1">
        <f t="array" ref="L58">_xlfn.IFS(I58&gt;5%,"High risk",AND(I58&gt;=2%,I58&lt;=5%),"Mod risk",I58&lt;2%,"Low risk")</f>
        <v>Mod risk</v>
      </c>
      <c r="M58" cm="1">
        <f t="array" ref="M58">_xlfn.IFS(L58="Low risk",1,L58="Mod risk",2,L58="high risk",3)</f>
        <v>2</v>
      </c>
    </row>
    <row r="59" spans="1:13" ht="18" customHeight="1" x14ac:dyDescent="0.3">
      <c r="A59" s="7" t="s">
        <v>61</v>
      </c>
      <c r="B59" s="14">
        <v>2316</v>
      </c>
      <c r="C59" s="14">
        <v>34</v>
      </c>
      <c r="D59" s="14">
        <v>1025</v>
      </c>
      <c r="E59" s="14">
        <v>1257</v>
      </c>
      <c r="F59" s="14">
        <v>1161348</v>
      </c>
      <c r="G59" s="7" t="s">
        <v>197</v>
      </c>
      <c r="H59" s="15">
        <v>43904</v>
      </c>
      <c r="I59" s="23">
        <f t="shared" si="0"/>
        <v>1.468048359240069E-2</v>
      </c>
      <c r="J59" s="24">
        <f t="shared" si="1"/>
        <v>0.442573402417962</v>
      </c>
      <c r="K59" s="25">
        <f t="shared" si="2"/>
        <v>1.9942342863637774E-3</v>
      </c>
      <c r="L59" t="str" cm="1">
        <f t="array" ref="L59">_xlfn.IFS(I59&gt;5%,"High risk",AND(I59&gt;=2%,I59&lt;=5%),"Mod risk",I59&lt;2%,"Low risk")</f>
        <v>Low risk</v>
      </c>
      <c r="M59" cm="1">
        <f t="array" ref="M59">_xlfn.IFS(L59="Low risk",1,L59="Mod risk",2,L59="high risk",3)</f>
        <v>1</v>
      </c>
    </row>
    <row r="60" spans="1:13" ht="18" customHeight="1" x14ac:dyDescent="0.3">
      <c r="A60" s="6" t="s">
        <v>62</v>
      </c>
      <c r="B60" s="12">
        <v>14547</v>
      </c>
      <c r="C60" s="12">
        <v>228</v>
      </c>
      <c r="D60" s="12">
        <v>6386</v>
      </c>
      <c r="E60" s="12">
        <v>7933</v>
      </c>
      <c r="F60" s="12">
        <v>115223736</v>
      </c>
      <c r="G60" s="6" t="s">
        <v>197</v>
      </c>
      <c r="H60" s="13">
        <v>43903</v>
      </c>
      <c r="I60" s="23">
        <f t="shared" si="0"/>
        <v>1.5673334708187256E-2</v>
      </c>
      <c r="J60" s="24">
        <f t="shared" si="1"/>
        <v>0.43899085722142023</v>
      </c>
      <c r="K60" s="25">
        <f t="shared" si="2"/>
        <v>1.2625002890029533E-4</v>
      </c>
      <c r="L60" t="str" cm="1">
        <f t="array" ref="L60">_xlfn.IFS(I60&gt;5%,"High risk",AND(I60&gt;=2%,I60&lt;=5%),"Mod risk",I60&lt;2%,"Low risk")</f>
        <v>Low risk</v>
      </c>
      <c r="M60" cm="1">
        <f t="array" ref="M60">_xlfn.IFS(L60="Low risk",1,L60="Mod risk",2,L60="high risk",3)</f>
        <v>1</v>
      </c>
    </row>
    <row r="61" spans="1:13" ht="18" customHeight="1" x14ac:dyDescent="0.3">
      <c r="A61" s="7" t="s">
        <v>63</v>
      </c>
      <c r="B61" s="14">
        <v>27</v>
      </c>
      <c r="C61" s="14">
        <v>0</v>
      </c>
      <c r="D61" s="14">
        <v>18</v>
      </c>
      <c r="E61" s="14">
        <v>9</v>
      </c>
      <c r="F61" s="14">
        <v>897095</v>
      </c>
      <c r="G61" s="7" t="s">
        <v>200</v>
      </c>
      <c r="H61" s="15">
        <v>43909</v>
      </c>
      <c r="I61" s="23">
        <f t="shared" si="0"/>
        <v>0</v>
      </c>
      <c r="J61" s="24">
        <f t="shared" si="1"/>
        <v>0.66666666666666663</v>
      </c>
      <c r="K61" s="25">
        <f t="shared" si="2"/>
        <v>3.0097146901944609E-5</v>
      </c>
      <c r="L61" t="str" cm="1">
        <f t="array" ref="L61">_xlfn.IFS(I61&gt;5%,"High risk",AND(I61&gt;=2%,I61&lt;=5%),"Mod risk",I61&lt;2%,"Low risk")</f>
        <v>Low risk</v>
      </c>
      <c r="M61" cm="1">
        <f t="array" ref="M61">_xlfn.IFS(L61="Low risk",1,L61="Mod risk",2,L61="high risk",3)</f>
        <v>1</v>
      </c>
    </row>
    <row r="62" spans="1:13" ht="18" customHeight="1" x14ac:dyDescent="0.3">
      <c r="A62" s="6" t="s">
        <v>64</v>
      </c>
      <c r="B62" s="12">
        <v>7398</v>
      </c>
      <c r="C62" s="12">
        <v>329</v>
      </c>
      <c r="D62" s="12">
        <v>6920</v>
      </c>
      <c r="E62" s="12">
        <v>149</v>
      </c>
      <c r="F62" s="12">
        <v>5541604</v>
      </c>
      <c r="G62" s="6" t="s">
        <v>196</v>
      </c>
      <c r="H62" s="13">
        <v>43887</v>
      </c>
      <c r="I62" s="23">
        <f t="shared" si="0"/>
        <v>4.4471478778048121E-2</v>
      </c>
      <c r="J62" s="24">
        <f t="shared" si="1"/>
        <v>0.93538794268721281</v>
      </c>
      <c r="K62" s="25">
        <f t="shared" si="2"/>
        <v>1.334992540066017E-3</v>
      </c>
      <c r="L62" t="str" cm="1">
        <f t="array" ref="L62">_xlfn.IFS(I62&gt;5%,"High risk",AND(I62&gt;=2%,I62&lt;=5%),"Mod risk",I62&lt;2%,"Low risk")</f>
        <v>Mod risk</v>
      </c>
      <c r="M62" cm="1">
        <f t="array" ref="M62">_xlfn.IFS(L62="Low risk",1,L62="Mod risk",2,L62="high risk",3)</f>
        <v>2</v>
      </c>
    </row>
    <row r="63" spans="1:13" ht="18" customHeight="1" x14ac:dyDescent="0.3">
      <c r="A63" s="7" t="s">
        <v>65</v>
      </c>
      <c r="B63" s="14">
        <v>220352</v>
      </c>
      <c r="C63" s="14">
        <v>30212</v>
      </c>
      <c r="D63" s="14">
        <v>81212</v>
      </c>
      <c r="E63" s="14">
        <v>108928</v>
      </c>
      <c r="F63" s="14">
        <v>65288306</v>
      </c>
      <c r="G63" s="7" t="s">
        <v>196</v>
      </c>
      <c r="H63" s="15">
        <v>43826</v>
      </c>
      <c r="I63" s="23">
        <f t="shared" si="0"/>
        <v>0.13710790008713331</v>
      </c>
      <c r="J63" s="24">
        <f t="shared" si="1"/>
        <v>0.36855576532094103</v>
      </c>
      <c r="K63" s="25">
        <f t="shared" si="2"/>
        <v>3.3750607650932158E-3</v>
      </c>
      <c r="L63" t="str" cm="1">
        <f t="array" ref="L63">_xlfn.IFS(I63&gt;5%,"High risk",AND(I63&gt;=2%,I63&lt;=5%),"Mod risk",I63&lt;2%,"Low risk")</f>
        <v>High risk</v>
      </c>
      <c r="M63" cm="1">
        <f t="array" ref="M63">_xlfn.IFS(L63="Low risk",1,L63="Mod risk",2,L63="high risk",3)</f>
        <v>3</v>
      </c>
    </row>
    <row r="64" spans="1:13" ht="18" customHeight="1" x14ac:dyDescent="0.3">
      <c r="A64" s="6" t="s">
        <v>66</v>
      </c>
      <c r="B64" s="12">
        <v>7189</v>
      </c>
      <c r="C64" s="12">
        <v>49</v>
      </c>
      <c r="D64" s="12">
        <v>4682</v>
      </c>
      <c r="E64" s="12">
        <v>2458</v>
      </c>
      <c r="F64" s="12">
        <v>2230563</v>
      </c>
      <c r="G64" s="6" t="s">
        <v>197</v>
      </c>
      <c r="H64" s="13">
        <v>43902</v>
      </c>
      <c r="I64" s="23">
        <f t="shared" si="0"/>
        <v>6.815968841285297E-3</v>
      </c>
      <c r="J64" s="24">
        <f t="shared" si="1"/>
        <v>0.65127277785505633</v>
      </c>
      <c r="K64" s="25">
        <f t="shared" si="2"/>
        <v>3.2229531288737417E-3</v>
      </c>
      <c r="L64" t="str" cm="1">
        <f t="array" ref="L64">_xlfn.IFS(I64&gt;5%,"High risk",AND(I64&gt;=2%,I64&lt;=5%),"Mod risk",I64&lt;2%,"Low risk")</f>
        <v>Low risk</v>
      </c>
      <c r="M64" cm="1">
        <f t="array" ref="M64">_xlfn.IFS(L64="Low risk",1,L64="Mod risk",2,L64="high risk",3)</f>
        <v>1</v>
      </c>
    </row>
    <row r="65" spans="1:13" ht="18" customHeight="1" x14ac:dyDescent="0.3">
      <c r="A65" s="7" t="s">
        <v>67</v>
      </c>
      <c r="B65" s="14">
        <v>326</v>
      </c>
      <c r="C65" s="14">
        <v>8</v>
      </c>
      <c r="D65" s="14">
        <v>66</v>
      </c>
      <c r="E65" s="14">
        <v>252</v>
      </c>
      <c r="F65" s="14">
        <v>2422754</v>
      </c>
      <c r="G65" s="7" t="s">
        <v>197</v>
      </c>
      <c r="H65" s="15">
        <v>43907</v>
      </c>
      <c r="I65" s="23">
        <f t="shared" si="0"/>
        <v>2.4539877300613498E-2</v>
      </c>
      <c r="J65" s="24">
        <f t="shared" si="1"/>
        <v>0.20245398773006135</v>
      </c>
      <c r="K65" s="25">
        <f t="shared" si="2"/>
        <v>1.345576150116768E-4</v>
      </c>
      <c r="L65" t="str" cm="1">
        <f t="array" ref="L65">_xlfn.IFS(I65&gt;5%,"High risk",AND(I65&gt;=2%,I65&lt;=5%),"Mod risk",I65&lt;2%,"Low risk")</f>
        <v>Mod risk</v>
      </c>
      <c r="M65" cm="1">
        <f t="array" ref="M65">_xlfn.IFS(L65="Low risk",1,L65="Mod risk",2,L65="high risk",3)</f>
        <v>2</v>
      </c>
    </row>
    <row r="66" spans="1:13" ht="18" customHeight="1" x14ac:dyDescent="0.3">
      <c r="A66" s="6" t="s">
        <v>68</v>
      </c>
      <c r="B66" s="12">
        <v>1137</v>
      </c>
      <c r="C66" s="12">
        <v>16</v>
      </c>
      <c r="D66" s="12">
        <v>922</v>
      </c>
      <c r="E66" s="12">
        <v>199</v>
      </c>
      <c r="F66" s="12">
        <v>3988368</v>
      </c>
      <c r="G66" s="6" t="s">
        <v>195</v>
      </c>
      <c r="H66" s="13">
        <v>43887</v>
      </c>
      <c r="I66" s="23">
        <f t="shared" si="0"/>
        <v>1.4072119613016711E-2</v>
      </c>
      <c r="J66" s="24">
        <f t="shared" si="1"/>
        <v>0.81090589270008795</v>
      </c>
      <c r="K66" s="25">
        <f t="shared" si="2"/>
        <v>2.8507900976038319E-4</v>
      </c>
      <c r="L66" t="str" cm="1">
        <f t="array" ref="L66">_xlfn.IFS(I66&gt;5%,"High risk",AND(I66&gt;=2%,I66&lt;=5%),"Mod risk",I66&lt;2%,"Low risk")</f>
        <v>Low risk</v>
      </c>
      <c r="M66" cm="1">
        <f t="array" ref="M66">_xlfn.IFS(L66="Low risk",1,L66="Mod risk",2,L66="high risk",3)</f>
        <v>1</v>
      </c>
    </row>
    <row r="67" spans="1:13" ht="18" customHeight="1" x14ac:dyDescent="0.3">
      <c r="A67" s="7" t="s">
        <v>69</v>
      </c>
      <c r="B67" s="14">
        <v>207112</v>
      </c>
      <c r="C67" s="14">
        <v>9125</v>
      </c>
      <c r="D67" s="14">
        <v>190314</v>
      </c>
      <c r="E67" s="14">
        <v>7673</v>
      </c>
      <c r="F67" s="14">
        <v>83811260</v>
      </c>
      <c r="G67" s="7" t="s">
        <v>196</v>
      </c>
      <c r="H67" s="15">
        <v>43857</v>
      </c>
      <c r="I67" s="23">
        <f t="shared" ref="I67:I130" si="3">C67/B67</f>
        <v>4.4058287303487965E-2</v>
      </c>
      <c r="J67" s="24">
        <f t="shared" ref="J67:J130" si="4">D67/B67</f>
        <v>0.91889412491791878</v>
      </c>
      <c r="K67" s="25">
        <f t="shared" ref="K67:K130" si="5">B67/F67</f>
        <v>2.4711715347078664E-3</v>
      </c>
      <c r="L67" t="str" cm="1">
        <f t="array" ref="L67">_xlfn.IFS(I67&gt;5%,"High risk",AND(I67&gt;=2%,I67&lt;=5%),"Mod risk",I67&lt;2%,"Low risk")</f>
        <v>Mod risk</v>
      </c>
      <c r="M67" cm="1">
        <f t="array" ref="M67">_xlfn.IFS(L67="Low risk",1,L67="Mod risk",2,L67="high risk",3)</f>
        <v>2</v>
      </c>
    </row>
    <row r="68" spans="1:13" ht="18" customHeight="1" x14ac:dyDescent="0.3">
      <c r="A68" s="6" t="s">
        <v>70</v>
      </c>
      <c r="B68" s="12">
        <v>33624</v>
      </c>
      <c r="C68" s="12">
        <v>168</v>
      </c>
      <c r="D68" s="12">
        <v>29801</v>
      </c>
      <c r="E68" s="12">
        <v>3655</v>
      </c>
      <c r="F68" s="12">
        <v>31133483</v>
      </c>
      <c r="G68" s="6" t="s">
        <v>197</v>
      </c>
      <c r="H68" s="13">
        <v>43902</v>
      </c>
      <c r="I68" s="23">
        <f t="shared" si="3"/>
        <v>4.9964311206281229E-3</v>
      </c>
      <c r="J68" s="24">
        <f t="shared" si="4"/>
        <v>0.88630145134427785</v>
      </c>
      <c r="K68" s="25">
        <f t="shared" si="5"/>
        <v>1.0799948081620036E-3</v>
      </c>
      <c r="L68" t="str" cm="1">
        <f t="array" ref="L68">_xlfn.IFS(I68&gt;5%,"High risk",AND(I68&gt;=2%,I68&lt;=5%),"Mod risk",I68&lt;2%,"Low risk")</f>
        <v>Low risk</v>
      </c>
      <c r="M68" cm="1">
        <f t="array" ref="M68">_xlfn.IFS(L68="Low risk",1,L68="Mod risk",2,L68="high risk",3)</f>
        <v>1</v>
      </c>
    </row>
    <row r="69" spans="1:13" ht="18" customHeight="1" x14ac:dyDescent="0.3">
      <c r="A69" s="7" t="s">
        <v>71</v>
      </c>
      <c r="B69" s="14">
        <v>4227</v>
      </c>
      <c r="C69" s="14">
        <v>202</v>
      </c>
      <c r="D69" s="14">
        <v>1374</v>
      </c>
      <c r="E69" s="14">
        <v>2651</v>
      </c>
      <c r="F69" s="14">
        <v>10417673</v>
      </c>
      <c r="G69" s="7" t="s">
        <v>196</v>
      </c>
      <c r="H69" s="15">
        <v>43887</v>
      </c>
      <c r="I69" s="23">
        <f t="shared" si="3"/>
        <v>4.7788029335225926E-2</v>
      </c>
      <c r="J69" s="24">
        <f t="shared" si="4"/>
        <v>0.32505322924059615</v>
      </c>
      <c r="K69" s="25">
        <f t="shared" si="5"/>
        <v>4.0575280103339776E-4</v>
      </c>
      <c r="L69" t="str" cm="1">
        <f t="array" ref="L69">_xlfn.IFS(I69&gt;5%,"High risk",AND(I69&gt;=2%,I69&lt;=5%),"Mod risk",I69&lt;2%,"Low risk")</f>
        <v>Mod risk</v>
      </c>
      <c r="M69" cm="1">
        <f t="array" ref="M69">_xlfn.IFS(L69="Low risk",1,L69="Mod risk",2,L69="high risk",3)</f>
        <v>2</v>
      </c>
    </row>
    <row r="70" spans="1:13" ht="18" customHeight="1" x14ac:dyDescent="0.3">
      <c r="A70" s="6" t="s">
        <v>72</v>
      </c>
      <c r="B70" s="12">
        <v>14</v>
      </c>
      <c r="C70" s="12">
        <v>0</v>
      </c>
      <c r="D70" s="12">
        <v>13</v>
      </c>
      <c r="E70" s="12">
        <v>1</v>
      </c>
      <c r="F70" s="12">
        <v>56780</v>
      </c>
      <c r="G70" s="6" t="s">
        <v>198</v>
      </c>
      <c r="H70" s="13">
        <v>43898</v>
      </c>
      <c r="I70" s="23">
        <f t="shared" si="3"/>
        <v>0</v>
      </c>
      <c r="J70" s="24">
        <f t="shared" si="4"/>
        <v>0.9285714285714286</v>
      </c>
      <c r="K70" s="25">
        <f t="shared" si="5"/>
        <v>2.4656569214512151E-4</v>
      </c>
      <c r="L70" t="str" cm="1">
        <f t="array" ref="L70">_xlfn.IFS(I70&gt;5%,"High risk",AND(I70&gt;=2%,I70&lt;=5%),"Mod risk",I70&lt;2%,"Low risk")</f>
        <v>Low risk</v>
      </c>
      <c r="M70" cm="1">
        <f t="array" ref="M70">_xlfn.IFS(L70="Low risk",1,L70="Mod risk",2,L70="high risk",3)</f>
        <v>1</v>
      </c>
    </row>
    <row r="71" spans="1:13" ht="18" customHeight="1" x14ac:dyDescent="0.3">
      <c r="A71" s="7" t="s">
        <v>73</v>
      </c>
      <c r="B71" s="14">
        <v>23</v>
      </c>
      <c r="C71" s="14">
        <v>0</v>
      </c>
      <c r="D71" s="14">
        <v>23</v>
      </c>
      <c r="E71" s="14">
        <v>0</v>
      </c>
      <c r="F71" s="14">
        <v>112576</v>
      </c>
      <c r="G71" s="7" t="s">
        <v>198</v>
      </c>
      <c r="H71" s="15">
        <v>43912</v>
      </c>
      <c r="I71" s="23">
        <f t="shared" si="3"/>
        <v>0</v>
      </c>
      <c r="J71" s="24">
        <f t="shared" si="4"/>
        <v>1</v>
      </c>
      <c r="K71" s="25">
        <f t="shared" si="5"/>
        <v>2.0430642410460489E-4</v>
      </c>
      <c r="L71" t="str" cm="1">
        <f t="array" ref="L71">_xlfn.IFS(I71&gt;5%,"High risk",AND(I71&gt;=2%,I71&lt;=5%),"Mod risk",I71&lt;2%,"Low risk")</f>
        <v>Low risk</v>
      </c>
      <c r="M71" cm="1">
        <f t="array" ref="M71">_xlfn.IFS(L71="Low risk",1,L71="Mod risk",2,L71="high risk",3)</f>
        <v>1</v>
      </c>
    </row>
    <row r="72" spans="1:13" ht="18" customHeight="1" x14ac:dyDescent="0.3">
      <c r="A72" s="6" t="s">
        <v>74</v>
      </c>
      <c r="B72" s="12">
        <v>45309</v>
      </c>
      <c r="C72" s="12">
        <v>1761</v>
      </c>
      <c r="D72" s="12">
        <v>32455</v>
      </c>
      <c r="E72" s="12">
        <v>11093</v>
      </c>
      <c r="F72" s="12">
        <v>17946899</v>
      </c>
      <c r="G72" s="6" t="s">
        <v>198</v>
      </c>
      <c r="H72" s="13">
        <v>43903</v>
      </c>
      <c r="I72" s="23">
        <f t="shared" si="3"/>
        <v>3.8866450374097861E-2</v>
      </c>
      <c r="J72" s="24">
        <f t="shared" si="4"/>
        <v>0.71630360414045779</v>
      </c>
      <c r="K72" s="25">
        <f t="shared" si="5"/>
        <v>2.5246144194604318E-3</v>
      </c>
      <c r="L72" t="str" cm="1">
        <f t="array" ref="L72">_xlfn.IFS(I72&gt;5%,"High risk",AND(I72&gt;=2%,I72&lt;=5%),"Mod risk",I72&lt;2%,"Low risk")</f>
        <v>Mod risk</v>
      </c>
      <c r="M72" cm="1">
        <f t="array" ref="M72">_xlfn.IFS(L72="Low risk",1,L72="Mod risk",2,L72="high risk",3)</f>
        <v>2</v>
      </c>
    </row>
    <row r="73" spans="1:13" ht="18" customHeight="1" x14ac:dyDescent="0.3">
      <c r="A73" s="7" t="s">
        <v>75</v>
      </c>
      <c r="B73" s="14">
        <v>7055</v>
      </c>
      <c r="C73" s="14">
        <v>45</v>
      </c>
      <c r="D73" s="14">
        <v>6257</v>
      </c>
      <c r="E73" s="14">
        <v>753</v>
      </c>
      <c r="F73" s="14">
        <v>13164905</v>
      </c>
      <c r="G73" s="7" t="s">
        <v>197</v>
      </c>
      <c r="H73" s="15">
        <v>43903</v>
      </c>
      <c r="I73" s="23">
        <f t="shared" si="3"/>
        <v>6.3784549964564135E-3</v>
      </c>
      <c r="J73" s="24">
        <f t="shared" si="4"/>
        <v>0.88688873139617297</v>
      </c>
      <c r="K73" s="25">
        <f t="shared" si="5"/>
        <v>5.3589448613567661E-4</v>
      </c>
      <c r="L73" t="str" cm="1">
        <f t="array" ref="L73">_xlfn.IFS(I73&gt;5%,"High risk",AND(I73&gt;=2%,I73&lt;=5%),"Mod risk",I73&lt;2%,"Low risk")</f>
        <v>Low risk</v>
      </c>
      <c r="M73" cm="1">
        <f t="array" ref="M73">_xlfn.IFS(L73="Low risk",1,L73="Mod risk",2,L73="high risk",3)</f>
        <v>1</v>
      </c>
    </row>
    <row r="74" spans="1:13" ht="18" customHeight="1" x14ac:dyDescent="0.3">
      <c r="A74" s="6" t="s">
        <v>76</v>
      </c>
      <c r="B74" s="12">
        <v>1954</v>
      </c>
      <c r="C74" s="12">
        <v>26</v>
      </c>
      <c r="D74" s="12">
        <v>803</v>
      </c>
      <c r="E74" s="12">
        <v>1125</v>
      </c>
      <c r="F74" s="12">
        <v>1972277</v>
      </c>
      <c r="G74" s="6" t="s">
        <v>197</v>
      </c>
      <c r="H74" s="13">
        <v>43915</v>
      </c>
      <c r="I74" s="23">
        <f t="shared" si="3"/>
        <v>1.3306038894575231E-2</v>
      </c>
      <c r="J74" s="24">
        <f t="shared" si="4"/>
        <v>0.41095189355168882</v>
      </c>
      <c r="K74" s="25">
        <f t="shared" si="5"/>
        <v>9.907330461187754E-4</v>
      </c>
      <c r="L74" t="str" cm="1">
        <f t="array" ref="L74">_xlfn.IFS(I74&gt;5%,"High risk",AND(I74&gt;=2%,I74&lt;=5%),"Mod risk",I74&lt;2%,"Low risk")</f>
        <v>Low risk</v>
      </c>
      <c r="M74" cm="1">
        <f t="array" ref="M74">_xlfn.IFS(L74="Low risk",1,L74="Mod risk",2,L74="high risk",3)</f>
        <v>1</v>
      </c>
    </row>
    <row r="75" spans="1:13" ht="18" customHeight="1" x14ac:dyDescent="0.3">
      <c r="A75" s="7" t="s">
        <v>77</v>
      </c>
      <c r="B75" s="14">
        <v>389</v>
      </c>
      <c r="C75" s="14">
        <v>20</v>
      </c>
      <c r="D75" s="14">
        <v>181</v>
      </c>
      <c r="E75" s="14">
        <v>188</v>
      </c>
      <c r="F75" s="14">
        <v>786936</v>
      </c>
      <c r="G75" s="7" t="s">
        <v>199</v>
      </c>
      <c r="H75" s="15">
        <v>43902</v>
      </c>
      <c r="I75" s="23">
        <f t="shared" si="3"/>
        <v>5.1413881748071981E-2</v>
      </c>
      <c r="J75" s="24">
        <f t="shared" si="4"/>
        <v>0.4652956298200514</v>
      </c>
      <c r="K75" s="25">
        <f t="shared" si="5"/>
        <v>4.943222828794209E-4</v>
      </c>
      <c r="L75" t="str" cm="1">
        <f t="array" ref="L75">_xlfn.IFS(I75&gt;5%,"High risk",AND(I75&gt;=2%,I75&lt;=5%),"Mod risk",I75&lt;2%,"Low risk")</f>
        <v>High risk</v>
      </c>
      <c r="M75" cm="1">
        <f t="array" ref="M75">_xlfn.IFS(L75="Low risk",1,L75="Mod risk",2,L75="high risk",3)</f>
        <v>3</v>
      </c>
    </row>
    <row r="76" spans="1:13" ht="18" customHeight="1" x14ac:dyDescent="0.3">
      <c r="A76" s="6" t="s">
        <v>78</v>
      </c>
      <c r="B76" s="12">
        <v>7340</v>
      </c>
      <c r="C76" s="12">
        <v>158</v>
      </c>
      <c r="D76" s="12">
        <v>4365</v>
      </c>
      <c r="E76" s="12">
        <v>2817</v>
      </c>
      <c r="F76" s="12">
        <v>11416103</v>
      </c>
      <c r="G76" s="6" t="s">
        <v>198</v>
      </c>
      <c r="H76" s="13">
        <v>43909</v>
      </c>
      <c r="I76" s="23">
        <f t="shared" si="3"/>
        <v>2.1525885558583105E-2</v>
      </c>
      <c r="J76" s="24">
        <f t="shared" si="4"/>
        <v>0.59468664850136244</v>
      </c>
      <c r="K76" s="25">
        <f t="shared" si="5"/>
        <v>6.4295145199723587E-4</v>
      </c>
      <c r="L76" t="str" cm="1">
        <f t="array" ref="L76">_xlfn.IFS(I76&gt;5%,"High risk",AND(I76&gt;=2%,I76&lt;=5%),"Mod risk",I76&lt;2%,"Low risk")</f>
        <v>Mod risk</v>
      </c>
      <c r="M76" cm="1">
        <f t="array" ref="M76">_xlfn.IFS(L76="Low risk",1,L76="Mod risk",2,L76="high risk",3)</f>
        <v>2</v>
      </c>
    </row>
    <row r="77" spans="1:13" ht="18" customHeight="1" x14ac:dyDescent="0.3">
      <c r="A77" s="7" t="s">
        <v>79</v>
      </c>
      <c r="B77" s="14">
        <v>12</v>
      </c>
      <c r="C77" s="14">
        <v>0</v>
      </c>
      <c r="D77" s="14">
        <v>12</v>
      </c>
      <c r="E77" s="14">
        <v>0</v>
      </c>
      <c r="F77" s="17">
        <v>528</v>
      </c>
      <c r="G77" s="7" t="s">
        <v>196</v>
      </c>
      <c r="H77" s="15">
        <v>43912</v>
      </c>
      <c r="I77" s="23">
        <f t="shared" si="3"/>
        <v>0</v>
      </c>
      <c r="J77" s="24">
        <f t="shared" si="4"/>
        <v>1</v>
      </c>
      <c r="K77" s="25">
        <f t="shared" si="5"/>
        <v>2.2727272727272728E-2</v>
      </c>
      <c r="L77" t="str" cm="1">
        <f t="array" ref="L77">_xlfn.IFS(I77&gt;5%,"High risk",AND(I77&gt;=2%,I77&lt;=5%),"Mod risk",I77&lt;2%,"Low risk")</f>
        <v>Low risk</v>
      </c>
      <c r="M77" cm="1">
        <f t="array" ref="M77">_xlfn.IFS(L77="Low risk",1,L77="Mod risk",2,L77="high risk",3)</f>
        <v>1</v>
      </c>
    </row>
    <row r="78" spans="1:13" ht="18" customHeight="1" x14ac:dyDescent="0.3">
      <c r="A78" s="6" t="s">
        <v>80</v>
      </c>
      <c r="B78" s="12">
        <v>39741</v>
      </c>
      <c r="C78" s="12">
        <v>1166</v>
      </c>
      <c r="D78" s="12">
        <v>5039</v>
      </c>
      <c r="E78" s="12">
        <v>33536</v>
      </c>
      <c r="F78" s="16">
        <v>10012084</v>
      </c>
      <c r="G78" s="6" t="s">
        <v>198</v>
      </c>
      <c r="H78" s="13">
        <v>43907</v>
      </c>
      <c r="I78" s="23">
        <f t="shared" si="3"/>
        <v>2.9339976346845827E-2</v>
      </c>
      <c r="J78" s="24">
        <f t="shared" si="4"/>
        <v>0.12679600412672051</v>
      </c>
      <c r="K78" s="25">
        <f t="shared" si="5"/>
        <v>3.9693034936582631E-3</v>
      </c>
      <c r="L78" t="str" cm="1">
        <f t="array" ref="L78">_xlfn.IFS(I78&gt;5%,"High risk",AND(I78&gt;=2%,I78&lt;=5%),"Mod risk",I78&lt;2%,"Low risk")</f>
        <v>Mod risk</v>
      </c>
      <c r="M78" cm="1">
        <f t="array" ref="M78">_xlfn.IFS(L78="Low risk",1,L78="Mod risk",2,L78="high risk",3)</f>
        <v>2</v>
      </c>
    </row>
    <row r="79" spans="1:13" ht="18" customHeight="1" x14ac:dyDescent="0.3">
      <c r="A79" s="7" t="s">
        <v>81</v>
      </c>
      <c r="B79" s="14">
        <v>4448</v>
      </c>
      <c r="C79" s="14">
        <v>596</v>
      </c>
      <c r="D79" s="14">
        <v>3329</v>
      </c>
      <c r="E79" s="14">
        <v>523</v>
      </c>
      <c r="F79" s="14">
        <v>9657785</v>
      </c>
      <c r="G79" s="7" t="s">
        <v>196</v>
      </c>
      <c r="H79" s="15">
        <v>43894</v>
      </c>
      <c r="I79" s="23">
        <f t="shared" si="3"/>
        <v>0.13399280575539568</v>
      </c>
      <c r="J79" s="24">
        <f t="shared" si="4"/>
        <v>0.74842625899280579</v>
      </c>
      <c r="K79" s="25">
        <f t="shared" si="5"/>
        <v>4.6056109138896753E-4</v>
      </c>
      <c r="L79" t="str" cm="1">
        <f t="array" ref="L79">_xlfn.IFS(I79&gt;5%,"High risk",AND(I79&gt;=2%,I79&lt;=5%),"Mod risk",I79&lt;2%,"Low risk")</f>
        <v>High risk</v>
      </c>
      <c r="M79" cm="1">
        <f t="array" ref="M79">_xlfn.IFS(L79="Low risk",1,L79="Mod risk",2,L79="high risk",3)</f>
        <v>3</v>
      </c>
    </row>
    <row r="80" spans="1:13" ht="18" customHeight="1" x14ac:dyDescent="0.3">
      <c r="A80" s="6" t="s">
        <v>82</v>
      </c>
      <c r="B80" s="12">
        <v>1854</v>
      </c>
      <c r="C80" s="12">
        <v>10</v>
      </c>
      <c r="D80" s="12">
        <v>1823</v>
      </c>
      <c r="E80" s="12">
        <v>21</v>
      </c>
      <c r="F80" s="12">
        <v>341465</v>
      </c>
      <c r="G80" s="6" t="s">
        <v>196</v>
      </c>
      <c r="H80" s="13">
        <v>43889</v>
      </c>
      <c r="I80" s="23">
        <f t="shared" si="3"/>
        <v>5.3937432578209281E-3</v>
      </c>
      <c r="J80" s="24">
        <f t="shared" si="4"/>
        <v>0.98327939590075508</v>
      </c>
      <c r="K80" s="25">
        <f t="shared" si="5"/>
        <v>5.4295462199639788E-3</v>
      </c>
      <c r="L80" t="str" cm="1">
        <f t="array" ref="L80">_xlfn.IFS(I80&gt;5%,"High risk",AND(I80&gt;=2%,I80&lt;=5%),"Mod risk",I80&lt;2%,"Low risk")</f>
        <v>Low risk</v>
      </c>
      <c r="M80" cm="1">
        <f t="array" ref="M80">_xlfn.IFS(L80="Low risk",1,L80="Mod risk",2,L80="high risk",3)</f>
        <v>1</v>
      </c>
    </row>
    <row r="81" spans="1:13" ht="18" customHeight="1" x14ac:dyDescent="0.3">
      <c r="A81" s="7" t="s">
        <v>83</v>
      </c>
      <c r="B81" s="14">
        <v>1480073</v>
      </c>
      <c r="C81" s="14">
        <v>33408</v>
      </c>
      <c r="D81" s="14">
        <v>951166</v>
      </c>
      <c r="E81" s="14">
        <v>495499</v>
      </c>
      <c r="F81" s="14">
        <v>1381344997</v>
      </c>
      <c r="G81" s="7" t="s">
        <v>195</v>
      </c>
      <c r="H81" s="15">
        <v>43860</v>
      </c>
      <c r="I81" s="23">
        <f t="shared" si="3"/>
        <v>2.2571859631247918E-2</v>
      </c>
      <c r="J81" s="24">
        <f t="shared" si="4"/>
        <v>0.64264803154979522</v>
      </c>
      <c r="K81" s="25">
        <f t="shared" si="5"/>
        <v>1.0714723716482247E-3</v>
      </c>
      <c r="L81" t="str" cm="1">
        <f t="array" ref="L81">_xlfn.IFS(I81&gt;5%,"High risk",AND(I81&gt;=2%,I81&lt;=5%),"Mod risk",I81&lt;2%,"Low risk")</f>
        <v>Mod risk</v>
      </c>
      <c r="M81" cm="1">
        <f t="array" ref="M81">_xlfn.IFS(L81="Low risk",1,L81="Mod risk",2,L81="high risk",3)</f>
        <v>2</v>
      </c>
    </row>
    <row r="82" spans="1:13" ht="18" customHeight="1" x14ac:dyDescent="0.3">
      <c r="A82" s="6" t="s">
        <v>84</v>
      </c>
      <c r="B82" s="12">
        <v>100303</v>
      </c>
      <c r="C82" s="12">
        <v>4838</v>
      </c>
      <c r="D82" s="12">
        <v>58173</v>
      </c>
      <c r="E82" s="12">
        <v>37292</v>
      </c>
      <c r="F82" s="12">
        <v>273808365</v>
      </c>
      <c r="G82" s="6" t="s">
        <v>195</v>
      </c>
      <c r="H82" s="13">
        <v>43892</v>
      </c>
      <c r="I82" s="23">
        <f t="shared" si="3"/>
        <v>4.8233851430166598E-2</v>
      </c>
      <c r="J82" s="24">
        <f t="shared" si="4"/>
        <v>0.57997268277120329</v>
      </c>
      <c r="K82" s="25">
        <f t="shared" si="5"/>
        <v>3.6632555035343787E-4</v>
      </c>
      <c r="L82" t="str" cm="1">
        <f t="array" ref="L82">_xlfn.IFS(I82&gt;5%,"High risk",AND(I82&gt;=2%,I82&lt;=5%),"Mod risk",I82&lt;2%,"Low risk")</f>
        <v>Mod risk</v>
      </c>
      <c r="M82" cm="1">
        <f t="array" ref="M82">_xlfn.IFS(L82="Low risk",1,L82="Mod risk",2,L82="high risk",3)</f>
        <v>2</v>
      </c>
    </row>
    <row r="83" spans="1:13" ht="18" customHeight="1" x14ac:dyDescent="0.3">
      <c r="A83" s="7" t="s">
        <v>85</v>
      </c>
      <c r="B83" s="14">
        <v>293606</v>
      </c>
      <c r="C83" s="14">
        <v>15912</v>
      </c>
      <c r="D83" s="14">
        <v>255144</v>
      </c>
      <c r="E83" s="14">
        <v>22550</v>
      </c>
      <c r="F83" s="14">
        <v>84097623</v>
      </c>
      <c r="G83" s="7" t="s">
        <v>195</v>
      </c>
      <c r="H83" s="15">
        <v>43880</v>
      </c>
      <c r="I83" s="23">
        <f t="shared" si="3"/>
        <v>5.4195077757266542E-2</v>
      </c>
      <c r="J83" s="24">
        <f t="shared" si="4"/>
        <v>0.86900131468702957</v>
      </c>
      <c r="K83" s="25">
        <f t="shared" si="5"/>
        <v>3.4912520654715772E-3</v>
      </c>
      <c r="L83" t="str" cm="1">
        <f t="array" ref="L83">_xlfn.IFS(I83&gt;5%,"High risk",AND(I83&gt;=2%,I83&lt;=5%),"Mod risk",I83&lt;2%,"Low risk")</f>
        <v>High risk</v>
      </c>
      <c r="M83" cm="1">
        <f t="array" ref="M83">_xlfn.IFS(L83="Low risk",1,L83="Mod risk",2,L83="high risk",3)</f>
        <v>3</v>
      </c>
    </row>
    <row r="84" spans="1:13" ht="18" customHeight="1" x14ac:dyDescent="0.3">
      <c r="A84" s="6" t="s">
        <v>86</v>
      </c>
      <c r="B84" s="12">
        <v>112585</v>
      </c>
      <c r="C84" s="12">
        <v>4458</v>
      </c>
      <c r="D84" s="12">
        <v>77144</v>
      </c>
      <c r="E84" s="12">
        <v>30983</v>
      </c>
      <c r="F84" s="12">
        <v>40306025</v>
      </c>
      <c r="G84" s="6" t="s">
        <v>195</v>
      </c>
      <c r="H84" s="13">
        <v>43883</v>
      </c>
      <c r="I84" s="23">
        <f t="shared" si="3"/>
        <v>3.9596749122884932E-2</v>
      </c>
      <c r="J84" s="24">
        <f t="shared" si="4"/>
        <v>0.68520673269085575</v>
      </c>
      <c r="K84" s="25">
        <f t="shared" si="5"/>
        <v>2.7932548545781927E-3</v>
      </c>
      <c r="L84" t="str" cm="1">
        <f t="array" ref="L84">_xlfn.IFS(I84&gt;5%,"High risk",AND(I84&gt;=2%,I84&lt;=5%),"Mod risk",I84&lt;2%,"Low risk")</f>
        <v>Mod risk</v>
      </c>
      <c r="M84" cm="1">
        <f t="array" ref="M84">_xlfn.IFS(L84="Low risk",1,L84="Mod risk",2,L84="high risk",3)</f>
        <v>2</v>
      </c>
    </row>
    <row r="85" spans="1:13" ht="18" customHeight="1" x14ac:dyDescent="0.3">
      <c r="A85" s="7" t="s">
        <v>87</v>
      </c>
      <c r="B85" s="14">
        <v>25892</v>
      </c>
      <c r="C85" s="14">
        <v>1764</v>
      </c>
      <c r="D85" s="14">
        <v>23364</v>
      </c>
      <c r="E85" s="14">
        <v>764</v>
      </c>
      <c r="F85" s="14">
        <v>4943200</v>
      </c>
      <c r="G85" s="7" t="s">
        <v>196</v>
      </c>
      <c r="H85" s="15">
        <v>43890</v>
      </c>
      <c r="I85" s="23">
        <f t="shared" si="3"/>
        <v>6.8129151861578863E-2</v>
      </c>
      <c r="J85" s="24">
        <f t="shared" si="4"/>
        <v>0.90236366445234051</v>
      </c>
      <c r="K85" s="25">
        <f t="shared" si="5"/>
        <v>5.2379025732319142E-3</v>
      </c>
      <c r="L85" t="str" cm="1">
        <f t="array" ref="L85">_xlfn.IFS(I85&gt;5%,"High risk",AND(I85&gt;=2%,I85&lt;=5%),"Mod risk",I85&lt;2%,"Low risk")</f>
        <v>High risk</v>
      </c>
      <c r="M85" cm="1">
        <f t="array" ref="M85">_xlfn.IFS(L85="Low risk",1,L85="Mod risk",2,L85="high risk",3)</f>
        <v>3</v>
      </c>
    </row>
    <row r="86" spans="1:13" ht="18" customHeight="1" x14ac:dyDescent="0.3">
      <c r="A86" s="6" t="s">
        <v>88</v>
      </c>
      <c r="B86" s="12">
        <v>63985</v>
      </c>
      <c r="C86" s="12">
        <v>474</v>
      </c>
      <c r="D86" s="12">
        <v>27133</v>
      </c>
      <c r="E86" s="12">
        <v>36378</v>
      </c>
      <c r="F86" s="12">
        <v>9197590</v>
      </c>
      <c r="G86" s="6" t="s">
        <v>195</v>
      </c>
      <c r="H86" s="13">
        <v>43882</v>
      </c>
      <c r="I86" s="23">
        <f t="shared" si="3"/>
        <v>7.407986246776588E-3</v>
      </c>
      <c r="J86" s="24">
        <f t="shared" si="4"/>
        <v>0.42405251230757207</v>
      </c>
      <c r="K86" s="25">
        <f t="shared" si="5"/>
        <v>6.9567136608611607E-3</v>
      </c>
      <c r="L86" t="str" cm="1">
        <f t="array" ref="L86">_xlfn.IFS(I86&gt;5%,"High risk",AND(I86&gt;=2%,I86&lt;=5%),"Mod risk",I86&lt;2%,"Low risk")</f>
        <v>Low risk</v>
      </c>
      <c r="M86" cm="1">
        <f t="array" ref="M86">_xlfn.IFS(L86="Low risk",1,L86="Mod risk",2,L86="high risk",3)</f>
        <v>1</v>
      </c>
    </row>
    <row r="87" spans="1:13" ht="18" customHeight="1" x14ac:dyDescent="0.3">
      <c r="A87" s="7" t="s">
        <v>89</v>
      </c>
      <c r="B87" s="14">
        <v>246286</v>
      </c>
      <c r="C87" s="14">
        <v>35112</v>
      </c>
      <c r="D87" s="14">
        <v>198593</v>
      </c>
      <c r="E87" s="14">
        <v>12581</v>
      </c>
      <c r="F87" s="14">
        <v>60452568</v>
      </c>
      <c r="G87" s="7" t="s">
        <v>196</v>
      </c>
      <c r="H87" s="15">
        <v>43861</v>
      </c>
      <c r="I87" s="23">
        <f t="shared" si="3"/>
        <v>0.14256595990027854</v>
      </c>
      <c r="J87" s="24">
        <f t="shared" si="4"/>
        <v>0.80635115272488078</v>
      </c>
      <c r="K87" s="25">
        <f t="shared" si="5"/>
        <v>4.0740370202304726E-3</v>
      </c>
      <c r="L87" t="str" cm="1">
        <f t="array" ref="L87">_xlfn.IFS(I87&gt;5%,"High risk",AND(I87&gt;=2%,I87&lt;=5%),"Mod risk",I87&lt;2%,"Low risk")</f>
        <v>High risk</v>
      </c>
      <c r="M87" cm="1">
        <f t="array" ref="M87">_xlfn.IFS(L87="Low risk",1,L87="Mod risk",2,L87="high risk",3)</f>
        <v>3</v>
      </c>
    </row>
    <row r="88" spans="1:13" ht="18" customHeight="1" x14ac:dyDescent="0.3">
      <c r="A88" s="6" t="s">
        <v>90</v>
      </c>
      <c r="B88" s="12">
        <v>853</v>
      </c>
      <c r="C88" s="12">
        <v>10</v>
      </c>
      <c r="D88" s="12">
        <v>714</v>
      </c>
      <c r="E88" s="12">
        <v>129</v>
      </c>
      <c r="F88" s="12">
        <v>2962478</v>
      </c>
      <c r="G88" s="6" t="s">
        <v>198</v>
      </c>
      <c r="H88" s="13">
        <v>43900</v>
      </c>
      <c r="I88" s="23">
        <f t="shared" si="3"/>
        <v>1.1723329425556858E-2</v>
      </c>
      <c r="J88" s="24">
        <f t="shared" si="4"/>
        <v>0.83704572098475971</v>
      </c>
      <c r="K88" s="25">
        <f t="shared" si="5"/>
        <v>2.8793462770018881E-4</v>
      </c>
      <c r="L88" t="str" cm="1">
        <f t="array" ref="L88">_xlfn.IFS(I88&gt;5%,"High risk",AND(I88&gt;=2%,I88&lt;=5%),"Mod risk",I88&lt;2%,"Low risk")</f>
        <v>Low risk</v>
      </c>
      <c r="M88" cm="1">
        <f t="array" ref="M88">_xlfn.IFS(L88="Low risk",1,L88="Mod risk",2,L88="high risk",3)</f>
        <v>1</v>
      </c>
    </row>
    <row r="89" spans="1:13" ht="18" customHeight="1" x14ac:dyDescent="0.3">
      <c r="A89" s="7" t="s">
        <v>91</v>
      </c>
      <c r="B89" s="14">
        <v>31142</v>
      </c>
      <c r="C89" s="14">
        <v>998</v>
      </c>
      <c r="D89" s="14">
        <v>21970</v>
      </c>
      <c r="E89" s="14">
        <v>8174</v>
      </c>
      <c r="F89" s="14">
        <v>126435859</v>
      </c>
      <c r="G89" s="7" t="s">
        <v>195</v>
      </c>
      <c r="H89" s="15">
        <v>43846</v>
      </c>
      <c r="I89" s="23">
        <f t="shared" si="3"/>
        <v>3.2046753580373774E-2</v>
      </c>
      <c r="J89" s="24">
        <f t="shared" si="4"/>
        <v>0.70547813242566304</v>
      </c>
      <c r="K89" s="25">
        <f t="shared" si="5"/>
        <v>2.4630670639094564E-4</v>
      </c>
      <c r="L89" t="str" cm="1">
        <f t="array" ref="L89">_xlfn.IFS(I89&gt;5%,"High risk",AND(I89&gt;=2%,I89&lt;=5%),"Mod risk",I89&lt;2%,"Low risk")</f>
        <v>Mod risk</v>
      </c>
      <c r="M89" cm="1">
        <f t="array" ref="M89">_xlfn.IFS(L89="Low risk",1,L89="Mod risk",2,L89="high risk",3)</f>
        <v>2</v>
      </c>
    </row>
    <row r="90" spans="1:13" ht="18" customHeight="1" x14ac:dyDescent="0.3">
      <c r="A90" s="6" t="s">
        <v>92</v>
      </c>
      <c r="B90" s="12">
        <v>1176</v>
      </c>
      <c r="C90" s="12">
        <v>11</v>
      </c>
      <c r="D90" s="12">
        <v>1041</v>
      </c>
      <c r="E90" s="12">
        <v>124</v>
      </c>
      <c r="F90" s="12">
        <v>10213138</v>
      </c>
      <c r="G90" s="6" t="s">
        <v>195</v>
      </c>
      <c r="H90" s="13">
        <v>43892</v>
      </c>
      <c r="I90" s="23">
        <f t="shared" si="3"/>
        <v>9.3537414965986394E-3</v>
      </c>
      <c r="J90" s="24">
        <f t="shared" si="4"/>
        <v>0.88520408163265307</v>
      </c>
      <c r="K90" s="25">
        <f t="shared" si="5"/>
        <v>1.1514580533426651E-4</v>
      </c>
      <c r="L90" t="str" cm="1">
        <f t="array" ref="L90">_xlfn.IFS(I90&gt;5%,"High risk",AND(I90&gt;=2%,I90&lt;=5%),"Mod risk",I90&lt;2%,"Low risk")</f>
        <v>Low risk</v>
      </c>
      <c r="M90" cm="1">
        <f t="array" ref="M90">_xlfn.IFS(L90="Low risk",1,L90="Mod risk",2,L90="high risk",3)</f>
        <v>1</v>
      </c>
    </row>
    <row r="91" spans="1:13" ht="18" customHeight="1" x14ac:dyDescent="0.3">
      <c r="A91" s="7" t="s">
        <v>93</v>
      </c>
      <c r="B91" s="14">
        <v>84648</v>
      </c>
      <c r="C91" s="14">
        <v>585</v>
      </c>
      <c r="D91" s="14">
        <v>54404</v>
      </c>
      <c r="E91" s="14">
        <v>29659</v>
      </c>
      <c r="F91" s="14">
        <v>18798667</v>
      </c>
      <c r="G91" s="7" t="s">
        <v>195</v>
      </c>
      <c r="H91" s="15">
        <v>43903</v>
      </c>
      <c r="I91" s="23">
        <f t="shared" si="3"/>
        <v>6.9109724978735467E-3</v>
      </c>
      <c r="J91" s="24">
        <f t="shared" si="4"/>
        <v>0.64270862867403833</v>
      </c>
      <c r="K91" s="25">
        <f t="shared" si="5"/>
        <v>4.5028724643082409E-3</v>
      </c>
      <c r="L91" t="str" cm="1">
        <f t="array" ref="L91">_xlfn.IFS(I91&gt;5%,"High risk",AND(I91&gt;=2%,I91&lt;=5%),"Mod risk",I91&lt;2%,"Low risk")</f>
        <v>Low risk</v>
      </c>
      <c r="M91" cm="1">
        <f t="array" ref="M91">_xlfn.IFS(L91="Low risk",1,L91="Mod risk",2,L91="high risk",3)</f>
        <v>1</v>
      </c>
    </row>
    <row r="92" spans="1:13" ht="18" customHeight="1" x14ac:dyDescent="0.3">
      <c r="A92" s="6" t="s">
        <v>94</v>
      </c>
      <c r="B92" s="12">
        <v>17975</v>
      </c>
      <c r="C92" s="12">
        <v>285</v>
      </c>
      <c r="D92" s="12">
        <v>7833</v>
      </c>
      <c r="E92" s="12">
        <v>9857</v>
      </c>
      <c r="F92" s="12">
        <v>53881160</v>
      </c>
      <c r="G92" s="6" t="s">
        <v>197</v>
      </c>
      <c r="H92" s="13">
        <v>43903</v>
      </c>
      <c r="I92" s="23">
        <f t="shared" si="3"/>
        <v>1.5855354659248956E-2</v>
      </c>
      <c r="J92" s="24">
        <f t="shared" si="4"/>
        <v>0.4357719054242003</v>
      </c>
      <c r="K92" s="25">
        <f t="shared" si="5"/>
        <v>3.3360454748932648E-4</v>
      </c>
      <c r="L92" t="str" cm="1">
        <f t="array" ref="L92">_xlfn.IFS(I92&gt;5%,"High risk",AND(I92&gt;=2%,I92&lt;=5%),"Mod risk",I92&lt;2%,"Low risk")</f>
        <v>Low risk</v>
      </c>
      <c r="M92" cm="1">
        <f t="array" ref="M92">_xlfn.IFS(L92="Low risk",1,L92="Mod risk",2,L92="high risk",3)</f>
        <v>1</v>
      </c>
    </row>
    <row r="93" spans="1:13" ht="18" customHeight="1" x14ac:dyDescent="0.3">
      <c r="A93" s="7" t="s">
        <v>95</v>
      </c>
      <c r="B93" s="14">
        <v>7413</v>
      </c>
      <c r="C93" s="14">
        <v>185</v>
      </c>
      <c r="D93" s="14">
        <v>4027</v>
      </c>
      <c r="E93" s="14">
        <v>3201</v>
      </c>
      <c r="F93" s="18">
        <v>1790152</v>
      </c>
      <c r="G93" s="7" t="s">
        <v>196</v>
      </c>
      <c r="H93" s="15">
        <v>43903</v>
      </c>
      <c r="I93" s="23">
        <f t="shared" si="3"/>
        <v>2.4956158100634021E-2</v>
      </c>
      <c r="J93" s="24">
        <f t="shared" si="4"/>
        <v>0.54323485768244972</v>
      </c>
      <c r="K93" s="25">
        <f t="shared" si="5"/>
        <v>4.1409891450558392E-3</v>
      </c>
      <c r="L93" t="str" cm="1">
        <f t="array" ref="L93">_xlfn.IFS(I93&gt;5%,"High risk",AND(I93&gt;=2%,I93&lt;=5%),"Mod risk",I93&lt;2%,"Low risk")</f>
        <v>Mod risk</v>
      </c>
      <c r="M93" cm="1">
        <f t="array" ref="M93">_xlfn.IFS(L93="Low risk",1,L93="Mod risk",2,L93="high risk",3)</f>
        <v>2</v>
      </c>
    </row>
    <row r="94" spans="1:13" ht="18" customHeight="1" x14ac:dyDescent="0.3">
      <c r="A94" s="6" t="s">
        <v>96</v>
      </c>
      <c r="B94" s="12">
        <v>64379</v>
      </c>
      <c r="C94" s="12">
        <v>438</v>
      </c>
      <c r="D94" s="12">
        <v>55057</v>
      </c>
      <c r="E94" s="12">
        <v>8884</v>
      </c>
      <c r="F94" s="12">
        <v>4276658</v>
      </c>
      <c r="G94" s="6" t="s">
        <v>195</v>
      </c>
      <c r="H94" s="13">
        <v>43885</v>
      </c>
      <c r="I94" s="23">
        <f t="shared" si="3"/>
        <v>6.8034607558365304E-3</v>
      </c>
      <c r="J94" s="24">
        <f t="shared" si="4"/>
        <v>0.85520123021482164</v>
      </c>
      <c r="K94" s="25">
        <f t="shared" si="5"/>
        <v>1.5053576881761413E-2</v>
      </c>
      <c r="L94" t="str" cm="1">
        <f t="array" ref="L94">_xlfn.IFS(I94&gt;5%,"High risk",AND(I94&gt;=2%,I94&lt;=5%),"Mod risk",I94&lt;2%,"Low risk")</f>
        <v>Low risk</v>
      </c>
      <c r="M94" cm="1">
        <f t="array" ref="M94">_xlfn.IFS(L94="Low risk",1,L94="Mod risk",2,L94="high risk",3)</f>
        <v>1</v>
      </c>
    </row>
    <row r="95" spans="1:13" ht="18" customHeight="1" x14ac:dyDescent="0.3">
      <c r="A95" s="7" t="s">
        <v>97</v>
      </c>
      <c r="B95" s="14">
        <v>33296</v>
      </c>
      <c r="C95" s="14">
        <v>1301</v>
      </c>
      <c r="D95" s="14">
        <v>21205</v>
      </c>
      <c r="E95" s="14">
        <v>10790</v>
      </c>
      <c r="F95" s="14">
        <v>6534479</v>
      </c>
      <c r="G95" s="7" t="s">
        <v>195</v>
      </c>
      <c r="H95" s="15">
        <v>43908</v>
      </c>
      <c r="I95" s="23">
        <f t="shared" si="3"/>
        <v>3.9073762614127823E-2</v>
      </c>
      <c r="J95" s="24">
        <f t="shared" si="4"/>
        <v>0.63686328688130711</v>
      </c>
      <c r="K95" s="25">
        <f t="shared" si="5"/>
        <v>5.0954330100379842E-3</v>
      </c>
      <c r="L95" t="str" cm="1">
        <f t="array" ref="L95">_xlfn.IFS(I95&gt;5%,"High risk",AND(I95&gt;=2%,I95&lt;=5%),"Mod risk",I95&lt;2%,"Low risk")</f>
        <v>Mod risk</v>
      </c>
      <c r="M95" cm="1">
        <f t="array" ref="M95">_xlfn.IFS(L95="Low risk",1,L95="Mod risk",2,L95="high risk",3)</f>
        <v>2</v>
      </c>
    </row>
    <row r="96" spans="1:13" ht="18" customHeight="1" x14ac:dyDescent="0.3">
      <c r="A96" s="6" t="s">
        <v>98</v>
      </c>
      <c r="B96" s="12">
        <v>20</v>
      </c>
      <c r="C96" s="12">
        <v>0</v>
      </c>
      <c r="D96" s="12">
        <v>19</v>
      </c>
      <c r="E96" s="12">
        <v>1</v>
      </c>
      <c r="F96" s="12">
        <v>7285750</v>
      </c>
      <c r="G96" s="6" t="s">
        <v>195</v>
      </c>
      <c r="H96" s="13">
        <v>43914</v>
      </c>
      <c r="I96" s="23">
        <f t="shared" si="3"/>
        <v>0</v>
      </c>
      <c r="J96" s="24">
        <f t="shared" si="4"/>
        <v>0.95</v>
      </c>
      <c r="K96" s="25">
        <f t="shared" si="5"/>
        <v>2.7450845829187114E-6</v>
      </c>
      <c r="L96" t="str" cm="1">
        <f t="array" ref="L96">_xlfn.IFS(I96&gt;5%,"High risk",AND(I96&gt;=2%,I96&lt;=5%),"Mod risk",I96&lt;2%,"Low risk")</f>
        <v>Low risk</v>
      </c>
      <c r="M96" cm="1">
        <f t="array" ref="M96">_xlfn.IFS(L96="Low risk",1,L96="Mod risk",2,L96="high risk",3)</f>
        <v>1</v>
      </c>
    </row>
    <row r="97" spans="1:19" ht="18" customHeight="1" x14ac:dyDescent="0.3">
      <c r="A97" s="7" t="s">
        <v>99</v>
      </c>
      <c r="B97" s="14">
        <v>1219</v>
      </c>
      <c r="C97" s="14">
        <v>31</v>
      </c>
      <c r="D97" s="14">
        <v>1045</v>
      </c>
      <c r="E97" s="14">
        <v>143</v>
      </c>
      <c r="F97" s="14">
        <v>1883936</v>
      </c>
      <c r="G97" s="7" t="s">
        <v>196</v>
      </c>
      <c r="H97" s="15">
        <v>43892</v>
      </c>
      <c r="I97" s="23">
        <f t="shared" si="3"/>
        <v>2.5430680885972109E-2</v>
      </c>
      <c r="J97" s="24">
        <f t="shared" si="4"/>
        <v>0.85726004922067267</v>
      </c>
      <c r="K97" s="25">
        <f t="shared" si="5"/>
        <v>6.4704958130212494E-4</v>
      </c>
      <c r="L97" t="str" cm="1">
        <f t="array" ref="L97">_xlfn.IFS(I97&gt;5%,"High risk",AND(I97&gt;=2%,I97&lt;=5%),"Mod risk",I97&lt;2%,"Low risk")</f>
        <v>Mod risk</v>
      </c>
      <c r="M97" cm="1">
        <f t="array" ref="M97">_xlfn.IFS(L97="Low risk",1,L97="Mod risk",2,L97="high risk",3)</f>
        <v>2</v>
      </c>
      <c r="S97" s="1">
        <v>43913</v>
      </c>
    </row>
    <row r="98" spans="1:19" ht="18" customHeight="1" x14ac:dyDescent="0.3">
      <c r="A98" s="6" t="s">
        <v>100</v>
      </c>
      <c r="B98" s="12">
        <v>3882</v>
      </c>
      <c r="C98" s="12">
        <v>51</v>
      </c>
      <c r="D98" s="12">
        <v>1709</v>
      </c>
      <c r="E98" s="12">
        <v>2122</v>
      </c>
      <c r="F98" s="12">
        <v>6822220</v>
      </c>
      <c r="G98" s="6" t="s">
        <v>195</v>
      </c>
      <c r="H98" s="13">
        <v>43882</v>
      </c>
      <c r="I98" s="23">
        <f t="shared" si="3"/>
        <v>1.3137557959814529E-2</v>
      </c>
      <c r="J98" s="24">
        <f t="shared" si="4"/>
        <v>0.44023699124162802</v>
      </c>
      <c r="K98" s="25">
        <f t="shared" si="5"/>
        <v>5.6902298665243865E-4</v>
      </c>
      <c r="L98" t="str" cm="1">
        <f t="array" ref="L98">_xlfn.IFS(I98&gt;5%,"High risk",AND(I98&gt;=2%,I98&lt;=5%),"Mod risk",I98&lt;2%,"Low risk")</f>
        <v>Low risk</v>
      </c>
      <c r="M98" cm="1">
        <f t="array" ref="M98">_xlfn.IFS(L98="Low risk",1,L98="Mod risk",2,L98="high risk",3)</f>
        <v>1</v>
      </c>
    </row>
    <row r="99" spans="1:19" ht="18" customHeight="1" x14ac:dyDescent="0.3">
      <c r="A99" s="7" t="s">
        <v>101</v>
      </c>
      <c r="B99" s="14">
        <v>505</v>
      </c>
      <c r="C99" s="14">
        <v>12</v>
      </c>
      <c r="D99" s="14">
        <v>128</v>
      </c>
      <c r="E99" s="14">
        <v>365</v>
      </c>
      <c r="F99" s="14">
        <v>2143943</v>
      </c>
      <c r="G99" s="7" t="s">
        <v>197</v>
      </c>
      <c r="H99" s="15">
        <v>43964</v>
      </c>
      <c r="I99" s="23">
        <f t="shared" si="3"/>
        <v>2.3762376237623763E-2</v>
      </c>
      <c r="J99" s="24">
        <f t="shared" si="4"/>
        <v>0.25346534653465347</v>
      </c>
      <c r="K99" s="25">
        <f t="shared" si="5"/>
        <v>2.3554730699463559E-4</v>
      </c>
      <c r="L99" t="str" cm="1">
        <f t="array" ref="L99">_xlfn.IFS(I99&gt;5%,"High risk",AND(I99&gt;=2%,I99&lt;=5%),"Mod risk",I99&lt;2%,"Low risk")</f>
        <v>Mod risk</v>
      </c>
      <c r="M99" cm="1">
        <f t="array" ref="M99">_xlfn.IFS(L99="Low risk",1,L99="Mod risk",2,L99="high risk",3)</f>
        <v>2</v>
      </c>
    </row>
    <row r="100" spans="1:19" ht="18" customHeight="1" x14ac:dyDescent="0.3">
      <c r="A100" s="6" t="s">
        <v>102</v>
      </c>
      <c r="B100" s="12">
        <v>1167</v>
      </c>
      <c r="C100" s="12">
        <v>72</v>
      </c>
      <c r="D100" s="12">
        <v>646</v>
      </c>
      <c r="E100" s="12">
        <v>449</v>
      </c>
      <c r="F100" s="12">
        <v>5068618</v>
      </c>
      <c r="G100" s="6" t="s">
        <v>197</v>
      </c>
      <c r="H100" s="13">
        <v>43906</v>
      </c>
      <c r="I100" s="23">
        <f t="shared" si="3"/>
        <v>6.1696658097686374E-2</v>
      </c>
      <c r="J100" s="24">
        <f t="shared" si="4"/>
        <v>0.55355612682090827</v>
      </c>
      <c r="K100" s="25">
        <f t="shared" si="5"/>
        <v>2.3024027456793942E-4</v>
      </c>
      <c r="L100" t="str" cm="1">
        <f t="array" ref="L100">_xlfn.IFS(I100&gt;5%,"High risk",AND(I100&gt;=2%,I100&lt;=5%),"Mod risk",I100&lt;2%,"Low risk")</f>
        <v>High risk</v>
      </c>
      <c r="M100" cm="1">
        <f t="array" ref="M100">_xlfn.IFS(L100="Low risk",1,L100="Mod risk",2,L100="high risk",3)</f>
        <v>3</v>
      </c>
    </row>
    <row r="101" spans="1:19" ht="18" customHeight="1" x14ac:dyDescent="0.3">
      <c r="A101" s="7" t="s">
        <v>103</v>
      </c>
      <c r="B101" s="14">
        <v>2827</v>
      </c>
      <c r="C101" s="14">
        <v>64</v>
      </c>
      <c r="D101" s="14">
        <v>577</v>
      </c>
      <c r="E101" s="14">
        <v>2186</v>
      </c>
      <c r="F101" s="14">
        <v>6880353</v>
      </c>
      <c r="G101" s="7" t="s">
        <v>197</v>
      </c>
      <c r="H101" s="15">
        <v>43914</v>
      </c>
      <c r="I101" s="23">
        <f t="shared" si="3"/>
        <v>2.2638839759462327E-2</v>
      </c>
      <c r="J101" s="24">
        <f t="shared" si="4"/>
        <v>0.20410328970640254</v>
      </c>
      <c r="K101" s="25">
        <f t="shared" si="5"/>
        <v>4.1088008129815432E-4</v>
      </c>
      <c r="L101" t="str" cm="1">
        <f t="array" ref="L101">_xlfn.IFS(I101&gt;5%,"High risk",AND(I101&gt;=2%,I101&lt;=5%),"Mod risk",I101&lt;2%,"Low risk")</f>
        <v>Mod risk</v>
      </c>
      <c r="M101" cm="1">
        <f t="array" ref="M101">_xlfn.IFS(L101="Low risk",1,L101="Mod risk",2,L101="high risk",3)</f>
        <v>2</v>
      </c>
    </row>
    <row r="102" spans="1:19" ht="18" customHeight="1" x14ac:dyDescent="0.3">
      <c r="A102" s="6" t="s">
        <v>104</v>
      </c>
      <c r="B102" s="12">
        <v>86</v>
      </c>
      <c r="C102" s="12">
        <v>1</v>
      </c>
      <c r="D102" s="12">
        <v>81</v>
      </c>
      <c r="E102" s="12">
        <v>4</v>
      </c>
      <c r="F102" s="12">
        <v>38139</v>
      </c>
      <c r="G102" s="6" t="s">
        <v>196</v>
      </c>
      <c r="H102" s="13">
        <v>43893</v>
      </c>
      <c r="I102" s="23">
        <f t="shared" si="3"/>
        <v>1.1627906976744186E-2</v>
      </c>
      <c r="J102" s="24">
        <f t="shared" si="4"/>
        <v>0.94186046511627908</v>
      </c>
      <c r="K102" s="25">
        <f t="shared" si="5"/>
        <v>2.2549096725136999E-3</v>
      </c>
      <c r="L102" t="str" cm="1">
        <f t="array" ref="L102">_xlfn.IFS(I102&gt;5%,"High risk",AND(I102&gt;=2%,I102&lt;=5%),"Mod risk",I102&lt;2%,"Low risk")</f>
        <v>Low risk</v>
      </c>
      <c r="M102" cm="1">
        <f t="array" ref="M102">_xlfn.IFS(L102="Low risk",1,L102="Mod risk",2,L102="high risk",3)</f>
        <v>1</v>
      </c>
    </row>
    <row r="103" spans="1:19" ht="18" customHeight="1" x14ac:dyDescent="0.3">
      <c r="A103" s="7" t="s">
        <v>105</v>
      </c>
      <c r="B103" s="14">
        <v>2019</v>
      </c>
      <c r="C103" s="14">
        <v>80</v>
      </c>
      <c r="D103" s="14">
        <v>1620</v>
      </c>
      <c r="E103" s="14">
        <v>319</v>
      </c>
      <c r="F103" s="14">
        <v>2718121</v>
      </c>
      <c r="G103" s="7" t="s">
        <v>196</v>
      </c>
      <c r="H103" s="15">
        <v>43889</v>
      </c>
      <c r="I103" s="23">
        <f t="shared" si="3"/>
        <v>3.9623576027736501E-2</v>
      </c>
      <c r="J103" s="24">
        <f t="shared" si="4"/>
        <v>0.80237741456166423</v>
      </c>
      <c r="K103" s="25">
        <f t="shared" si="5"/>
        <v>7.4279253940497862E-4</v>
      </c>
      <c r="L103" t="str" cm="1">
        <f t="array" ref="L103">_xlfn.IFS(I103&gt;5%,"High risk",AND(I103&gt;=2%,I103&lt;=5%),"Mod risk",I103&lt;2%,"Low risk")</f>
        <v>Mod risk</v>
      </c>
      <c r="M103" cm="1">
        <f t="array" ref="M103">_xlfn.IFS(L103="Low risk",1,L103="Mod risk",2,L103="high risk",3)</f>
        <v>2</v>
      </c>
    </row>
    <row r="104" spans="1:19" ht="18" customHeight="1" x14ac:dyDescent="0.3">
      <c r="A104" s="6" t="s">
        <v>106</v>
      </c>
      <c r="B104" s="12">
        <v>6321</v>
      </c>
      <c r="C104" s="12">
        <v>112</v>
      </c>
      <c r="D104" s="12">
        <v>4825</v>
      </c>
      <c r="E104" s="12">
        <v>1384</v>
      </c>
      <c r="F104" s="12">
        <v>626952</v>
      </c>
      <c r="G104" s="6" t="s">
        <v>196</v>
      </c>
      <c r="H104" s="13">
        <v>43890</v>
      </c>
      <c r="I104" s="23">
        <f t="shared" si="3"/>
        <v>1.7718715393133997E-2</v>
      </c>
      <c r="J104" s="24">
        <f t="shared" si="4"/>
        <v>0.763328587248853</v>
      </c>
      <c r="K104" s="25">
        <f t="shared" si="5"/>
        <v>1.0082111549209509E-2</v>
      </c>
      <c r="L104" t="str" cm="1">
        <f t="array" ref="L104">_xlfn.IFS(I104&gt;5%,"High risk",AND(I104&gt;=2%,I104&lt;=5%),"Mod risk",I104&lt;2%,"Low risk")</f>
        <v>Low risk</v>
      </c>
      <c r="M104" cm="1">
        <f t="array" ref="M104">_xlfn.IFS(L104="Low risk",1,L104="Mod risk",2,L104="high risk",3)</f>
        <v>1</v>
      </c>
    </row>
    <row r="105" spans="1:19" ht="18" customHeight="1" x14ac:dyDescent="0.3">
      <c r="A105" s="7" t="s">
        <v>107</v>
      </c>
      <c r="B105" s="14">
        <v>9690</v>
      </c>
      <c r="C105" s="14">
        <v>91</v>
      </c>
      <c r="D105" s="14">
        <v>6260</v>
      </c>
      <c r="E105" s="14">
        <v>3339</v>
      </c>
      <c r="F105" s="14">
        <v>27755708</v>
      </c>
      <c r="G105" s="7" t="s">
        <v>197</v>
      </c>
      <c r="H105" s="15">
        <v>43910</v>
      </c>
      <c r="I105" s="23">
        <f t="shared" si="3"/>
        <v>9.3911248710010324E-3</v>
      </c>
      <c r="J105" s="24">
        <f t="shared" si="4"/>
        <v>0.6460268317853457</v>
      </c>
      <c r="K105" s="25">
        <f t="shared" si="5"/>
        <v>3.491173779461868E-4</v>
      </c>
      <c r="L105" t="str" cm="1">
        <f t="array" ref="L105">_xlfn.IFS(I105&gt;5%,"High risk",AND(I105&gt;=2%,I105&lt;=5%),"Mod risk",I105&lt;2%,"Low risk")</f>
        <v>Low risk</v>
      </c>
      <c r="M105" cm="1">
        <f t="array" ref="M105">_xlfn.IFS(L105="Low risk",1,L105="Mod risk",2,L105="high risk",3)</f>
        <v>1</v>
      </c>
    </row>
    <row r="106" spans="1:19" ht="18" customHeight="1" x14ac:dyDescent="0.3">
      <c r="A106" s="6" t="s">
        <v>108</v>
      </c>
      <c r="B106" s="12">
        <v>3664</v>
      </c>
      <c r="C106" s="12">
        <v>99</v>
      </c>
      <c r="D106" s="12">
        <v>1645</v>
      </c>
      <c r="E106" s="12">
        <v>1920</v>
      </c>
      <c r="F106" s="12">
        <v>19174839</v>
      </c>
      <c r="G106" s="6" t="s">
        <v>197</v>
      </c>
      <c r="H106" s="13">
        <v>43922</v>
      </c>
      <c r="I106" s="23">
        <f t="shared" si="3"/>
        <v>2.7019650655021835E-2</v>
      </c>
      <c r="J106" s="24">
        <f t="shared" si="4"/>
        <v>0.44896288209606988</v>
      </c>
      <c r="K106" s="25">
        <f t="shared" si="5"/>
        <v>1.910837426066524E-4</v>
      </c>
      <c r="L106" t="str" cm="1">
        <f t="array" ref="L106">_xlfn.IFS(I106&gt;5%,"High risk",AND(I106&gt;=2%,I106&lt;=5%),"Mod risk",I106&lt;2%,"Low risk")</f>
        <v>Mod risk</v>
      </c>
      <c r="M106" cm="1">
        <f t="array" ref="M106">_xlfn.IFS(L106="Low risk",1,L106="Mod risk",2,L106="high risk",3)</f>
        <v>2</v>
      </c>
    </row>
    <row r="107" spans="1:19" ht="18" customHeight="1" x14ac:dyDescent="0.3">
      <c r="A107" s="7" t="s">
        <v>109</v>
      </c>
      <c r="B107" s="14">
        <v>8904</v>
      </c>
      <c r="C107" s="14">
        <v>124</v>
      </c>
      <c r="D107" s="14">
        <v>8601</v>
      </c>
      <c r="E107" s="14">
        <v>179</v>
      </c>
      <c r="F107" s="14">
        <v>32406372</v>
      </c>
      <c r="G107" s="7" t="s">
        <v>195</v>
      </c>
      <c r="H107" s="15">
        <v>43855</v>
      </c>
      <c r="I107" s="23">
        <f t="shared" si="3"/>
        <v>1.3926325247079964E-2</v>
      </c>
      <c r="J107" s="24">
        <f t="shared" si="4"/>
        <v>0.96597035040431267</v>
      </c>
      <c r="K107" s="25">
        <f t="shared" si="5"/>
        <v>2.7476077852837093E-4</v>
      </c>
      <c r="L107" t="str" cm="1">
        <f t="array" ref="L107">_xlfn.IFS(I107&gt;5%,"High risk",AND(I107&gt;=2%,I107&lt;=5%),"Mod risk",I107&lt;2%,"Low risk")</f>
        <v>Low risk</v>
      </c>
      <c r="M107" cm="1">
        <f t="array" ref="M107">_xlfn.IFS(L107="Low risk",1,L107="Mod risk",2,L107="high risk",3)</f>
        <v>1</v>
      </c>
    </row>
    <row r="108" spans="1:19" ht="18" customHeight="1" x14ac:dyDescent="0.3">
      <c r="A108" s="6" t="s">
        <v>110</v>
      </c>
      <c r="B108" s="12">
        <v>3369</v>
      </c>
      <c r="C108" s="12">
        <v>15</v>
      </c>
      <c r="D108" s="12">
        <v>2547</v>
      </c>
      <c r="E108" s="12">
        <v>807</v>
      </c>
      <c r="F108" s="12">
        <v>541448</v>
      </c>
      <c r="G108" s="6" t="s">
        <v>195</v>
      </c>
      <c r="H108" s="13">
        <v>43897</v>
      </c>
      <c r="I108" s="23">
        <f t="shared" si="3"/>
        <v>4.4523597506678537E-3</v>
      </c>
      <c r="J108" s="24">
        <f t="shared" si="4"/>
        <v>0.75601068566340157</v>
      </c>
      <c r="K108" s="25">
        <f t="shared" si="5"/>
        <v>6.2222041636500643E-3</v>
      </c>
      <c r="L108" t="str" cm="1">
        <f t="array" ref="L108">_xlfn.IFS(I108&gt;5%,"High risk",AND(I108&gt;=2%,I108&lt;=5%),"Mod risk",I108&lt;2%,"Low risk")</f>
        <v>Low risk</v>
      </c>
      <c r="M108" cm="1">
        <f t="array" ref="M108">_xlfn.IFS(L108="Low risk",1,L108="Mod risk",2,L108="high risk",3)</f>
        <v>1</v>
      </c>
    </row>
    <row r="109" spans="1:19" ht="18" customHeight="1" x14ac:dyDescent="0.3">
      <c r="A109" s="7" t="s">
        <v>111</v>
      </c>
      <c r="B109" s="14">
        <v>2513</v>
      </c>
      <c r="C109" s="14">
        <v>124</v>
      </c>
      <c r="D109" s="14">
        <v>1913</v>
      </c>
      <c r="E109" s="14">
        <v>476</v>
      </c>
      <c r="F109" s="14">
        <v>20302901</v>
      </c>
      <c r="G109" s="7" t="s">
        <v>197</v>
      </c>
      <c r="H109" s="15">
        <v>43915</v>
      </c>
      <c r="I109" s="23">
        <f t="shared" si="3"/>
        <v>4.9343414245921209E-2</v>
      </c>
      <c r="J109" s="24">
        <f t="shared" si="4"/>
        <v>0.76124154397134902</v>
      </c>
      <c r="K109" s="25">
        <f t="shared" si="5"/>
        <v>1.2377541514880066E-4</v>
      </c>
      <c r="L109" t="str" cm="1">
        <f t="array" ref="L109">_xlfn.IFS(I109&gt;5%,"High risk",AND(I109&gt;=2%,I109&lt;=5%),"Mod risk",I109&lt;2%,"Low risk")</f>
        <v>Mod risk</v>
      </c>
      <c r="M109" cm="1">
        <f t="array" ref="M109">_xlfn.IFS(L109="Low risk",1,L109="Mod risk",2,L109="high risk",3)</f>
        <v>2</v>
      </c>
    </row>
    <row r="110" spans="1:19" ht="18" customHeight="1" x14ac:dyDescent="0.3">
      <c r="A110" s="6" t="s">
        <v>112</v>
      </c>
      <c r="B110" s="12">
        <v>701</v>
      </c>
      <c r="C110" s="12">
        <v>9</v>
      </c>
      <c r="D110" s="12">
        <v>665</v>
      </c>
      <c r="E110" s="12">
        <v>27</v>
      </c>
      <c r="F110" s="12">
        <v>441663</v>
      </c>
      <c r="G110" s="6" t="s">
        <v>196</v>
      </c>
      <c r="H110" s="13">
        <v>43897</v>
      </c>
      <c r="I110" s="23">
        <f t="shared" si="3"/>
        <v>1.2838801711840228E-2</v>
      </c>
      <c r="J110" s="24">
        <f t="shared" si="4"/>
        <v>0.94864479315263905</v>
      </c>
      <c r="K110" s="25">
        <f t="shared" si="5"/>
        <v>1.5871829879342395E-3</v>
      </c>
      <c r="L110" t="str" cm="1">
        <f t="array" ref="L110">_xlfn.IFS(I110&gt;5%,"High risk",AND(I110&gt;=2%,I110&lt;=5%),"Mod risk",I110&lt;2%,"Low risk")</f>
        <v>Low risk</v>
      </c>
      <c r="M110" cm="1">
        <f t="array" ref="M110">_xlfn.IFS(L110="Low risk",1,L110="Mod risk",2,L110="high risk",3)</f>
        <v>1</v>
      </c>
    </row>
    <row r="111" spans="1:19" ht="18" customHeight="1" x14ac:dyDescent="0.3">
      <c r="A111" s="7" t="s">
        <v>113</v>
      </c>
      <c r="B111" s="14">
        <v>6208</v>
      </c>
      <c r="C111" s="14">
        <v>156</v>
      </c>
      <c r="D111" s="14">
        <v>4653</v>
      </c>
      <c r="E111" s="14">
        <v>1399</v>
      </c>
      <c r="F111" s="14">
        <v>4660728</v>
      </c>
      <c r="G111" s="7" t="s">
        <v>197</v>
      </c>
      <c r="H111" s="15">
        <v>43903</v>
      </c>
      <c r="I111" s="23">
        <f t="shared" si="3"/>
        <v>2.5128865979381444E-2</v>
      </c>
      <c r="J111" s="24">
        <f t="shared" si="4"/>
        <v>0.74951675257731953</v>
      </c>
      <c r="K111" s="25">
        <f t="shared" si="5"/>
        <v>1.3319807549378553E-3</v>
      </c>
      <c r="L111" t="str" cm="1">
        <f t="array" ref="L111">_xlfn.IFS(I111&gt;5%,"High risk",AND(I111&gt;=2%,I111&lt;=5%),"Mod risk",I111&lt;2%,"Low risk")</f>
        <v>Mod risk</v>
      </c>
      <c r="M111" cm="1">
        <f t="array" ref="M111">_xlfn.IFS(L111="Low risk",1,L111="Mod risk",2,L111="high risk",3)</f>
        <v>2</v>
      </c>
    </row>
    <row r="112" spans="1:19" ht="18" customHeight="1" x14ac:dyDescent="0.3">
      <c r="A112" s="6" t="s">
        <v>114</v>
      </c>
      <c r="B112" s="12">
        <v>344</v>
      </c>
      <c r="C112" s="12">
        <v>10</v>
      </c>
      <c r="D112" s="12">
        <v>332</v>
      </c>
      <c r="E112" s="12">
        <v>2</v>
      </c>
      <c r="F112" s="12">
        <v>1271985</v>
      </c>
      <c r="G112" s="6" t="s">
        <v>197</v>
      </c>
      <c r="H112" s="13">
        <v>43908</v>
      </c>
      <c r="I112" s="23">
        <f t="shared" si="3"/>
        <v>2.9069767441860465E-2</v>
      </c>
      <c r="J112" s="24">
        <f t="shared" si="4"/>
        <v>0.96511627906976749</v>
      </c>
      <c r="K112" s="25">
        <f t="shared" si="5"/>
        <v>2.7044344076384549E-4</v>
      </c>
      <c r="L112" t="str" cm="1">
        <f t="array" ref="L112">_xlfn.IFS(I112&gt;5%,"High risk",AND(I112&gt;=2%,I112&lt;=5%),"Mod risk",I112&lt;2%,"Low risk")</f>
        <v>Mod risk</v>
      </c>
      <c r="M112" cm="1">
        <f t="array" ref="M112">_xlfn.IFS(L112="Low risk",1,L112="Mod risk",2,L112="high risk",3)</f>
        <v>2</v>
      </c>
    </row>
    <row r="113" spans="1:13" ht="18" customHeight="1" x14ac:dyDescent="0.3">
      <c r="A113" s="7" t="s">
        <v>115</v>
      </c>
      <c r="B113" s="14">
        <v>395489</v>
      </c>
      <c r="C113" s="14">
        <v>44022</v>
      </c>
      <c r="D113" s="14">
        <v>303810</v>
      </c>
      <c r="E113" s="14">
        <v>47657</v>
      </c>
      <c r="F113" s="14">
        <v>129066160</v>
      </c>
      <c r="G113" s="7" t="s">
        <v>198</v>
      </c>
      <c r="H113" s="15">
        <v>43889</v>
      </c>
      <c r="I113" s="23">
        <f t="shared" si="3"/>
        <v>0.11131030193001576</v>
      </c>
      <c r="J113" s="24">
        <f t="shared" si="4"/>
        <v>0.7681882429094109</v>
      </c>
      <c r="K113" s="25">
        <f t="shared" si="5"/>
        <v>3.0642346529872739E-3</v>
      </c>
      <c r="L113" t="str" cm="1">
        <f t="array" ref="L113">_xlfn.IFS(I113&gt;5%,"High risk",AND(I113&gt;=2%,I113&lt;=5%),"Mod risk",I113&lt;2%,"Low risk")</f>
        <v>High risk</v>
      </c>
      <c r="M113" cm="1">
        <f t="array" ref="M113">_xlfn.IFS(L113="Low risk",1,L113="Mod risk",2,L113="high risk",3)</f>
        <v>3</v>
      </c>
    </row>
    <row r="114" spans="1:13" ht="18" customHeight="1" x14ac:dyDescent="0.3">
      <c r="A114" s="6" t="s">
        <v>116</v>
      </c>
      <c r="B114" s="12">
        <v>23154</v>
      </c>
      <c r="C114" s="12">
        <v>748</v>
      </c>
      <c r="D114" s="12">
        <v>16154</v>
      </c>
      <c r="E114" s="12">
        <v>6252</v>
      </c>
      <c r="F114" s="12">
        <v>4032983</v>
      </c>
      <c r="G114" s="6" t="s">
        <v>196</v>
      </c>
      <c r="H114" s="13">
        <v>43897</v>
      </c>
      <c r="I114" s="23">
        <f t="shared" si="3"/>
        <v>3.2305433186490456E-2</v>
      </c>
      <c r="J114" s="24">
        <f t="shared" si="4"/>
        <v>0.69767642739915348</v>
      </c>
      <c r="K114" s="25">
        <f t="shared" si="5"/>
        <v>5.7411598313208854E-3</v>
      </c>
      <c r="L114" t="str" cm="1">
        <f t="array" ref="L114">_xlfn.IFS(I114&gt;5%,"High risk",AND(I114&gt;=2%,I114&lt;=5%),"Mod risk",I114&lt;2%,"Low risk")</f>
        <v>Mod risk</v>
      </c>
      <c r="M114" cm="1">
        <f t="array" ref="M114">_xlfn.IFS(L114="Low risk",1,L114="Mod risk",2,L114="high risk",3)</f>
        <v>2</v>
      </c>
    </row>
    <row r="115" spans="1:13" ht="18" customHeight="1" x14ac:dyDescent="0.3">
      <c r="A115" s="7" t="s">
        <v>117</v>
      </c>
      <c r="B115" s="14">
        <v>116</v>
      </c>
      <c r="C115" s="14">
        <v>4</v>
      </c>
      <c r="D115" s="14">
        <v>104</v>
      </c>
      <c r="E115" s="14">
        <v>8</v>
      </c>
      <c r="F115" s="14">
        <v>39270</v>
      </c>
      <c r="G115" s="7" t="s">
        <v>196</v>
      </c>
      <c r="H115" s="15">
        <v>43890</v>
      </c>
      <c r="I115" s="23">
        <f t="shared" si="3"/>
        <v>3.4482758620689655E-2</v>
      </c>
      <c r="J115" s="24">
        <f t="shared" si="4"/>
        <v>0.89655172413793105</v>
      </c>
      <c r="K115" s="25">
        <f t="shared" si="5"/>
        <v>2.9539088362617776E-3</v>
      </c>
      <c r="L115" t="str" cm="1">
        <f t="array" ref="L115">_xlfn.IFS(I115&gt;5%,"High risk",AND(I115&gt;=2%,I115&lt;=5%),"Mod risk",I115&lt;2%,"Low risk")</f>
        <v>Mod risk</v>
      </c>
      <c r="M115" cm="1">
        <f t="array" ref="M115">_xlfn.IFS(L115="Low risk",1,L115="Mod risk",2,L115="high risk",3)</f>
        <v>2</v>
      </c>
    </row>
    <row r="116" spans="1:13" ht="18" customHeight="1" x14ac:dyDescent="0.3">
      <c r="A116" s="6" t="s">
        <v>118</v>
      </c>
      <c r="B116" s="12">
        <v>289</v>
      </c>
      <c r="C116" s="12">
        <v>0</v>
      </c>
      <c r="D116" s="12">
        <v>222</v>
      </c>
      <c r="E116" s="12">
        <v>67</v>
      </c>
      <c r="F116" s="12">
        <v>3283344</v>
      </c>
      <c r="G116" s="6" t="s">
        <v>195</v>
      </c>
      <c r="H116" s="13">
        <v>43900</v>
      </c>
      <c r="I116" s="23">
        <f t="shared" si="3"/>
        <v>0</v>
      </c>
      <c r="J116" s="24">
        <f t="shared" si="4"/>
        <v>0.76816608996539792</v>
      </c>
      <c r="K116" s="25">
        <f t="shared" si="5"/>
        <v>8.8020018615167948E-5</v>
      </c>
      <c r="L116" t="str" cm="1">
        <f t="array" ref="L116">_xlfn.IFS(I116&gt;5%,"High risk",AND(I116&gt;=2%,I116&lt;=5%),"Mod risk",I116&lt;2%,"Low risk")</f>
        <v>Low risk</v>
      </c>
      <c r="M116" cm="1">
        <f t="array" ref="M116">_xlfn.IFS(L116="Low risk",1,L116="Mod risk",2,L116="high risk",3)</f>
        <v>1</v>
      </c>
    </row>
    <row r="117" spans="1:13" ht="18" customHeight="1" x14ac:dyDescent="0.3">
      <c r="A117" s="7" t="s">
        <v>119</v>
      </c>
      <c r="B117" s="14">
        <v>2893</v>
      </c>
      <c r="C117" s="14">
        <v>45</v>
      </c>
      <c r="D117" s="14">
        <v>809</v>
      </c>
      <c r="E117" s="14">
        <v>2039</v>
      </c>
      <c r="F117" s="14">
        <v>628074</v>
      </c>
      <c r="G117" s="7" t="s">
        <v>196</v>
      </c>
      <c r="H117" s="15">
        <v>43907</v>
      </c>
      <c r="I117" s="23">
        <f t="shared" si="3"/>
        <v>1.5554787417905289E-2</v>
      </c>
      <c r="J117" s="24">
        <f t="shared" si="4"/>
        <v>0.27964051157967507</v>
      </c>
      <c r="K117" s="25">
        <f t="shared" si="5"/>
        <v>4.6061451357642573E-3</v>
      </c>
      <c r="L117" t="str" cm="1">
        <f t="array" ref="L117">_xlfn.IFS(I117&gt;5%,"High risk",AND(I117&gt;=2%,I117&lt;=5%),"Mod risk",I117&lt;2%,"Low risk")</f>
        <v>Low risk</v>
      </c>
      <c r="M117" cm="1">
        <f t="array" ref="M117">_xlfn.IFS(L117="Low risk",1,L117="Mod risk",2,L117="high risk",3)</f>
        <v>1</v>
      </c>
    </row>
    <row r="118" spans="1:13" ht="18" customHeight="1" x14ac:dyDescent="0.3">
      <c r="A118" s="6" t="s">
        <v>120</v>
      </c>
      <c r="B118" s="12">
        <v>20887</v>
      </c>
      <c r="C118" s="12">
        <v>316</v>
      </c>
      <c r="D118" s="12">
        <v>16553</v>
      </c>
      <c r="E118" s="12">
        <v>4018</v>
      </c>
      <c r="F118" s="12">
        <v>36953359</v>
      </c>
      <c r="G118" s="6" t="s">
        <v>197</v>
      </c>
      <c r="H118" s="13">
        <v>43892</v>
      </c>
      <c r="I118" s="23">
        <f t="shared" si="3"/>
        <v>1.5129027624838417E-2</v>
      </c>
      <c r="J118" s="24">
        <f t="shared" si="4"/>
        <v>0.79250251352515921</v>
      </c>
      <c r="K118" s="25">
        <f t="shared" si="5"/>
        <v>5.6522601910153822E-4</v>
      </c>
      <c r="L118" t="str" cm="1">
        <f t="array" ref="L118">_xlfn.IFS(I118&gt;5%,"High risk",AND(I118&gt;=2%,I118&lt;=5%),"Mod risk",I118&lt;2%,"Low risk")</f>
        <v>Low risk</v>
      </c>
      <c r="M118" cm="1">
        <f t="array" ref="M118">_xlfn.IFS(L118="Low risk",1,L118="Mod risk",2,L118="high risk",3)</f>
        <v>1</v>
      </c>
    </row>
    <row r="119" spans="1:13" ht="18" customHeight="1" x14ac:dyDescent="0.3">
      <c r="A119" s="7" t="s">
        <v>121</v>
      </c>
      <c r="B119" s="14">
        <v>1701</v>
      </c>
      <c r="C119" s="14">
        <v>11</v>
      </c>
      <c r="D119" s="14">
        <v>0</v>
      </c>
      <c r="E119" s="14">
        <v>1690</v>
      </c>
      <c r="F119" s="14">
        <v>31333962</v>
      </c>
      <c r="G119" s="7" t="s">
        <v>197</v>
      </c>
      <c r="H119" s="15">
        <v>43912</v>
      </c>
      <c r="I119" s="23">
        <f t="shared" si="3"/>
        <v>6.4667842445620223E-3</v>
      </c>
      <c r="J119" s="24">
        <f t="shared" si="4"/>
        <v>0</v>
      </c>
      <c r="K119" s="25">
        <f t="shared" si="5"/>
        <v>5.4286144854583022E-5</v>
      </c>
      <c r="L119" t="str" cm="1">
        <f t="array" ref="L119">_xlfn.IFS(I119&gt;5%,"High risk",AND(I119&gt;=2%,I119&lt;=5%),"Mod risk",I119&lt;2%,"Low risk")</f>
        <v>Low risk</v>
      </c>
      <c r="M119" cm="1">
        <f t="array" ref="M119">_xlfn.IFS(L119="Low risk",1,L119="Mod risk",2,L119="high risk",3)</f>
        <v>1</v>
      </c>
    </row>
    <row r="120" spans="1:13" ht="18" customHeight="1" x14ac:dyDescent="0.3">
      <c r="A120" s="6" t="s">
        <v>122</v>
      </c>
      <c r="B120" s="12">
        <v>1843</v>
      </c>
      <c r="C120" s="12">
        <v>8</v>
      </c>
      <c r="D120" s="12">
        <v>101</v>
      </c>
      <c r="E120" s="12">
        <v>1734</v>
      </c>
      <c r="F120" s="12">
        <v>2545264</v>
      </c>
      <c r="G120" s="6" t="s">
        <v>197</v>
      </c>
      <c r="H120" s="13">
        <v>43904</v>
      </c>
      <c r="I120" s="23">
        <f t="shared" si="3"/>
        <v>4.3407487791644059E-3</v>
      </c>
      <c r="J120" s="24">
        <f t="shared" si="4"/>
        <v>5.4801953336950621E-2</v>
      </c>
      <c r="K120" s="25">
        <f t="shared" si="5"/>
        <v>7.2408991758811663E-4</v>
      </c>
      <c r="L120" t="str" cm="1">
        <f t="array" ref="L120">_xlfn.IFS(I120&gt;5%,"High risk",AND(I120&gt;=2%,I120&lt;=5%),"Mod risk",I120&lt;2%,"Low risk")</f>
        <v>Low risk</v>
      </c>
      <c r="M120" cm="1">
        <f t="array" ref="M120">_xlfn.IFS(L120="Low risk",1,L120="Mod risk",2,L120="high risk",3)</f>
        <v>1</v>
      </c>
    </row>
    <row r="121" spans="1:13" ht="18" customHeight="1" x14ac:dyDescent="0.3">
      <c r="A121" s="7" t="s">
        <v>123</v>
      </c>
      <c r="B121" s="14">
        <v>18752</v>
      </c>
      <c r="C121" s="14">
        <v>48</v>
      </c>
      <c r="D121" s="14">
        <v>13754</v>
      </c>
      <c r="E121" s="14">
        <v>4950</v>
      </c>
      <c r="F121" s="14">
        <v>29186486</v>
      </c>
      <c r="G121" s="7" t="s">
        <v>195</v>
      </c>
      <c r="H121" s="15">
        <v>43843</v>
      </c>
      <c r="I121" s="23">
        <f t="shared" si="3"/>
        <v>2.5597269624573378E-3</v>
      </c>
      <c r="J121" s="24">
        <f t="shared" si="4"/>
        <v>0.73346843003412965</v>
      </c>
      <c r="K121" s="25">
        <f t="shared" si="5"/>
        <v>6.4248913007204774E-4</v>
      </c>
      <c r="L121" t="str" cm="1">
        <f t="array" ref="L121">_xlfn.IFS(I121&gt;5%,"High risk",AND(I121&gt;=2%,I121&lt;=5%),"Mod risk",I121&lt;2%,"Low risk")</f>
        <v>Low risk</v>
      </c>
      <c r="M121" cm="1">
        <f t="array" ref="M121">_xlfn.IFS(L121="Low risk",1,L121="Mod risk",2,L121="high risk",3)</f>
        <v>1</v>
      </c>
    </row>
    <row r="122" spans="1:13" ht="18" customHeight="1" x14ac:dyDescent="0.3">
      <c r="A122" s="6" t="s">
        <v>124</v>
      </c>
      <c r="B122" s="12">
        <v>53413</v>
      </c>
      <c r="C122" s="12">
        <v>6160</v>
      </c>
      <c r="D122" s="12">
        <v>189</v>
      </c>
      <c r="E122" s="12">
        <v>47064</v>
      </c>
      <c r="F122" s="12">
        <v>17138756</v>
      </c>
      <c r="G122" s="6" t="s">
        <v>196</v>
      </c>
      <c r="H122" s="13">
        <v>43888</v>
      </c>
      <c r="I122" s="23">
        <f t="shared" si="3"/>
        <v>0.11532772920450078</v>
      </c>
      <c r="J122" s="24">
        <f t="shared" si="4"/>
        <v>3.5384644187744555E-3</v>
      </c>
      <c r="K122" s="25">
        <f t="shared" si="5"/>
        <v>3.1165039049508613E-3</v>
      </c>
      <c r="L122" t="str" cm="1">
        <f t="array" ref="L122">_xlfn.IFS(I122&gt;5%,"High risk",AND(I122&gt;=2%,I122&lt;=5%),"Mod risk",I122&lt;2%,"Low risk")</f>
        <v>High risk</v>
      </c>
      <c r="M122" cm="1">
        <f t="array" ref="M122">_xlfn.IFS(L122="Low risk",1,L122="Mod risk",2,L122="high risk",3)</f>
        <v>3</v>
      </c>
    </row>
    <row r="123" spans="1:13" ht="18" customHeight="1" x14ac:dyDescent="0.3">
      <c r="A123" s="7" t="s">
        <v>125</v>
      </c>
      <c r="B123" s="14">
        <v>1557</v>
      </c>
      <c r="C123" s="14">
        <v>22</v>
      </c>
      <c r="D123" s="14">
        <v>1514</v>
      </c>
      <c r="E123" s="14">
        <v>21</v>
      </c>
      <c r="F123" s="14">
        <v>5002100</v>
      </c>
      <c r="G123" s="7" t="s">
        <v>200</v>
      </c>
      <c r="H123" s="15">
        <v>43889</v>
      </c>
      <c r="I123" s="23">
        <f t="shared" si="3"/>
        <v>1.4129736673089274E-2</v>
      </c>
      <c r="J123" s="24">
        <f t="shared" si="4"/>
        <v>0.97238278741168915</v>
      </c>
      <c r="K123" s="25">
        <f t="shared" si="5"/>
        <v>3.112692669078987E-4</v>
      </c>
      <c r="L123" t="str" cm="1">
        <f t="array" ref="L123">_xlfn.IFS(I123&gt;5%,"High risk",AND(I123&gt;=2%,I123&lt;=5%),"Mod risk",I123&lt;2%,"Low risk")</f>
        <v>Low risk</v>
      </c>
      <c r="M123" cm="1">
        <f t="array" ref="M123">_xlfn.IFS(L123="Low risk",1,L123="Mod risk",2,L123="high risk",3)</f>
        <v>1</v>
      </c>
    </row>
    <row r="124" spans="1:13" ht="18" customHeight="1" x14ac:dyDescent="0.3">
      <c r="A124" s="6" t="s">
        <v>126</v>
      </c>
      <c r="B124" s="12">
        <v>3439</v>
      </c>
      <c r="C124" s="12">
        <v>108</v>
      </c>
      <c r="D124" s="12">
        <v>2492</v>
      </c>
      <c r="E124" s="12">
        <v>839</v>
      </c>
      <c r="F124" s="12">
        <v>6632263</v>
      </c>
      <c r="G124" s="6" t="s">
        <v>198</v>
      </c>
      <c r="H124" s="13">
        <v>43908</v>
      </c>
      <c r="I124" s="23">
        <f t="shared" si="3"/>
        <v>3.1404478045943589E-2</v>
      </c>
      <c r="J124" s="24">
        <f t="shared" si="4"/>
        <v>0.72462925268973544</v>
      </c>
      <c r="K124" s="25">
        <f t="shared" si="5"/>
        <v>5.1852587872344626E-4</v>
      </c>
      <c r="L124" t="str" cm="1">
        <f t="array" ref="L124">_xlfn.IFS(I124&gt;5%,"High risk",AND(I124&gt;=2%,I124&lt;=5%),"Mod risk",I124&lt;2%,"Low risk")</f>
        <v>Mod risk</v>
      </c>
      <c r="M124" cm="1">
        <f t="array" ref="M124">_xlfn.IFS(L124="Low risk",1,L124="Mod risk",2,L124="high risk",3)</f>
        <v>2</v>
      </c>
    </row>
    <row r="125" spans="1:13" ht="18" customHeight="1" x14ac:dyDescent="0.3">
      <c r="A125" s="7" t="s">
        <v>127</v>
      </c>
      <c r="B125" s="14">
        <v>1132</v>
      </c>
      <c r="C125" s="14">
        <v>69</v>
      </c>
      <c r="D125" s="14">
        <v>1027</v>
      </c>
      <c r="E125" s="14">
        <v>36</v>
      </c>
      <c r="F125" s="14">
        <v>24281433</v>
      </c>
      <c r="G125" s="7" t="s">
        <v>197</v>
      </c>
      <c r="H125" s="15">
        <v>43909</v>
      </c>
      <c r="I125" s="23">
        <f t="shared" si="3"/>
        <v>6.0954063604240286E-2</v>
      </c>
      <c r="J125" s="24">
        <f t="shared" si="4"/>
        <v>0.90724381625441697</v>
      </c>
      <c r="K125" s="25">
        <f t="shared" si="5"/>
        <v>4.6619983260460779E-5</v>
      </c>
      <c r="L125" t="str" cm="1">
        <f t="array" ref="L125">_xlfn.IFS(I125&gt;5%,"High risk",AND(I125&gt;=2%,I125&lt;=5%),"Mod risk",I125&lt;2%,"Low risk")</f>
        <v>High risk</v>
      </c>
      <c r="M125" cm="1">
        <f t="array" ref="M125">_xlfn.IFS(L125="Low risk",1,L125="Mod risk",2,L125="high risk",3)</f>
        <v>3</v>
      </c>
    </row>
    <row r="126" spans="1:13" ht="18" customHeight="1" x14ac:dyDescent="0.3">
      <c r="A126" s="6" t="s">
        <v>128</v>
      </c>
      <c r="B126" s="12">
        <v>41180</v>
      </c>
      <c r="C126" s="12">
        <v>860</v>
      </c>
      <c r="D126" s="12">
        <v>18203</v>
      </c>
      <c r="E126" s="12">
        <v>22117</v>
      </c>
      <c r="F126" s="12">
        <v>206606300</v>
      </c>
      <c r="G126" s="6" t="s">
        <v>197</v>
      </c>
      <c r="H126" s="13">
        <v>43888</v>
      </c>
      <c r="I126" s="23">
        <f t="shared" si="3"/>
        <v>2.0883924235065566E-2</v>
      </c>
      <c r="J126" s="24">
        <f t="shared" si="4"/>
        <v>0.44203496843127732</v>
      </c>
      <c r="K126" s="25">
        <f t="shared" si="5"/>
        <v>1.9931628415977636E-4</v>
      </c>
      <c r="L126" t="str" cm="1">
        <f t="array" ref="L126">_xlfn.IFS(I126&gt;5%,"High risk",AND(I126&gt;=2%,I126&lt;=5%),"Mod risk",I126&lt;2%,"Low risk")</f>
        <v>Mod risk</v>
      </c>
      <c r="M126" cm="1">
        <f t="array" ref="M126">_xlfn.IFS(L126="Low risk",1,L126="Mod risk",2,L126="high risk",3)</f>
        <v>2</v>
      </c>
    </row>
    <row r="127" spans="1:13" ht="18" customHeight="1" x14ac:dyDescent="0.3">
      <c r="A127" s="7" t="s">
        <v>129</v>
      </c>
      <c r="B127" s="14">
        <v>10213</v>
      </c>
      <c r="C127" s="14">
        <v>466</v>
      </c>
      <c r="D127" s="14">
        <v>5564</v>
      </c>
      <c r="E127" s="14">
        <v>4183</v>
      </c>
      <c r="F127" s="14">
        <v>2083365</v>
      </c>
      <c r="G127" s="7" t="s">
        <v>196</v>
      </c>
      <c r="H127" s="15">
        <v>43887</v>
      </c>
      <c r="I127" s="23">
        <f t="shared" si="3"/>
        <v>4.5628121022226575E-2</v>
      </c>
      <c r="J127" s="24">
        <f t="shared" si="4"/>
        <v>0.54479584842847351</v>
      </c>
      <c r="K127" s="25">
        <f t="shared" si="5"/>
        <v>4.9021654870845966E-3</v>
      </c>
      <c r="L127" t="str" cm="1">
        <f t="array" ref="L127">_xlfn.IFS(I127&gt;5%,"High risk",AND(I127&gt;=2%,I127&lt;=5%),"Mod risk",I127&lt;2%,"Low risk")</f>
        <v>Mod risk</v>
      </c>
      <c r="M127" cm="1">
        <f t="array" ref="M127">_xlfn.IFS(L127="Low risk",1,L127="Mod risk",2,L127="high risk",3)</f>
        <v>2</v>
      </c>
    </row>
    <row r="128" spans="1:13" ht="18" customHeight="1" x14ac:dyDescent="0.3">
      <c r="A128" s="6" t="s">
        <v>130</v>
      </c>
      <c r="B128" s="12">
        <v>9132</v>
      </c>
      <c r="C128" s="12">
        <v>255</v>
      </c>
      <c r="D128" s="12">
        <v>8752</v>
      </c>
      <c r="E128" s="12">
        <v>125</v>
      </c>
      <c r="F128" s="12">
        <v>5425471</v>
      </c>
      <c r="G128" s="6" t="s">
        <v>196</v>
      </c>
      <c r="H128" s="13">
        <v>43887</v>
      </c>
      <c r="I128" s="23">
        <f t="shared" si="3"/>
        <v>2.7923784494086726E-2</v>
      </c>
      <c r="J128" s="24">
        <f t="shared" si="4"/>
        <v>0.95838808585194923</v>
      </c>
      <c r="K128" s="25">
        <f t="shared" si="5"/>
        <v>1.6831718389057834E-3</v>
      </c>
      <c r="L128" t="str" cm="1">
        <f t="array" ref="L128">_xlfn.IFS(I128&gt;5%,"High risk",AND(I128&gt;=2%,I128&lt;=5%),"Mod risk",I128&lt;2%,"Low risk")</f>
        <v>Mod risk</v>
      </c>
      <c r="M128" cm="1">
        <f t="array" ref="M128">_xlfn.IFS(L128="Low risk",1,L128="Mod risk",2,L128="high risk",3)</f>
        <v>2</v>
      </c>
    </row>
    <row r="129" spans="1:13" ht="18" customHeight="1" x14ac:dyDescent="0.3">
      <c r="A129" s="7" t="s">
        <v>131</v>
      </c>
      <c r="B129" s="14">
        <v>77058</v>
      </c>
      <c r="C129" s="14">
        <v>393</v>
      </c>
      <c r="D129" s="14">
        <v>57028</v>
      </c>
      <c r="E129" s="14">
        <v>19637</v>
      </c>
      <c r="F129" s="14">
        <v>5118446</v>
      </c>
      <c r="G129" s="7" t="s">
        <v>195</v>
      </c>
      <c r="H129" s="15">
        <v>43885</v>
      </c>
      <c r="I129" s="23">
        <f t="shared" si="3"/>
        <v>5.1000545043992833E-3</v>
      </c>
      <c r="J129" s="24">
        <f t="shared" si="4"/>
        <v>0.74006592436865737</v>
      </c>
      <c r="K129" s="25">
        <f t="shared" si="5"/>
        <v>1.5054960040606075E-2</v>
      </c>
      <c r="L129" t="str" cm="1">
        <f t="array" ref="L129">_xlfn.IFS(I129&gt;5%,"High risk",AND(I129&gt;=2%,I129&lt;=5%),"Mod risk",I129&lt;2%,"Low risk")</f>
        <v>Low risk</v>
      </c>
      <c r="M129" cm="1">
        <f t="array" ref="M129">_xlfn.IFS(L129="Low risk",1,L129="Mod risk",2,L129="high risk",3)</f>
        <v>1</v>
      </c>
    </row>
    <row r="130" spans="1:13" ht="18" customHeight="1" x14ac:dyDescent="0.3">
      <c r="A130" s="6" t="s">
        <v>132</v>
      </c>
      <c r="B130" s="12">
        <v>274289</v>
      </c>
      <c r="C130" s="12">
        <v>5842</v>
      </c>
      <c r="D130" s="12">
        <v>241026</v>
      </c>
      <c r="E130" s="12">
        <v>27421</v>
      </c>
      <c r="F130" s="12">
        <v>221295851</v>
      </c>
      <c r="G130" s="6" t="s">
        <v>195</v>
      </c>
      <c r="H130" s="13">
        <v>43887</v>
      </c>
      <c r="I130" s="23">
        <f t="shared" si="3"/>
        <v>2.1298703192618004E-2</v>
      </c>
      <c r="J130" s="24">
        <f t="shared" si="4"/>
        <v>0.8787300985456945</v>
      </c>
      <c r="K130" s="25">
        <f t="shared" si="5"/>
        <v>1.2394674313166406E-3</v>
      </c>
      <c r="L130" t="str" cm="1">
        <f t="array" ref="L130">_xlfn.IFS(I130&gt;5%,"High risk",AND(I130&gt;=2%,I130&lt;=5%),"Mod risk",I130&lt;2%,"Low risk")</f>
        <v>Mod risk</v>
      </c>
      <c r="M130" cm="1">
        <f t="array" ref="M130">_xlfn.IFS(L130="Low risk",1,L130="Mod risk",2,L130="high risk",3)</f>
        <v>2</v>
      </c>
    </row>
    <row r="131" spans="1:13" ht="18" customHeight="1" x14ac:dyDescent="0.3">
      <c r="A131" s="7" t="s">
        <v>133</v>
      </c>
      <c r="B131" s="14">
        <v>61442</v>
      </c>
      <c r="C131" s="14">
        <v>1322</v>
      </c>
      <c r="D131" s="14">
        <v>35086</v>
      </c>
      <c r="E131" s="14">
        <v>25034</v>
      </c>
      <c r="F131" s="14">
        <v>5112340</v>
      </c>
      <c r="G131" s="7" t="s">
        <v>195</v>
      </c>
      <c r="H131" s="15">
        <v>43899</v>
      </c>
      <c r="I131" s="23">
        <f t="shared" ref="I131:I188" si="6">C131/B131</f>
        <v>2.1516226685329255E-2</v>
      </c>
      <c r="J131" s="24">
        <f t="shared" ref="J131:J188" si="7">D131/B131</f>
        <v>0.57104260929006212</v>
      </c>
      <c r="K131" s="25">
        <f t="shared" ref="K131:K188" si="8">B131/F131</f>
        <v>1.2018371235089998E-2</v>
      </c>
      <c r="L131" t="str" cm="1">
        <f t="array" ref="L131">_xlfn.IFS(I131&gt;5%,"High risk",AND(I131&gt;=2%,I131&lt;=5%),"Mod risk",I131&lt;2%,"Low risk")</f>
        <v>Mod risk</v>
      </c>
      <c r="M131" cm="1">
        <f t="array" ref="M131">_xlfn.IFS(L131="Low risk",1,L131="Mod risk",2,L131="high risk",3)</f>
        <v>2</v>
      </c>
    </row>
    <row r="132" spans="1:13" ht="18" customHeight="1" x14ac:dyDescent="0.3">
      <c r="A132" s="6" t="s">
        <v>134</v>
      </c>
      <c r="B132" s="12">
        <v>62</v>
      </c>
      <c r="C132" s="12">
        <v>0</v>
      </c>
      <c r="D132" s="12">
        <v>11</v>
      </c>
      <c r="E132" s="12">
        <v>51</v>
      </c>
      <c r="F132" s="12">
        <v>8963009</v>
      </c>
      <c r="G132" s="6" t="s">
        <v>200</v>
      </c>
      <c r="H132" s="13">
        <v>43910</v>
      </c>
      <c r="I132" s="23">
        <f t="shared" si="6"/>
        <v>0</v>
      </c>
      <c r="J132" s="24">
        <f t="shared" si="7"/>
        <v>0.17741935483870969</v>
      </c>
      <c r="K132" s="25">
        <f t="shared" si="8"/>
        <v>6.9173198420307291E-6</v>
      </c>
      <c r="L132" t="str" cm="1">
        <f t="array" ref="L132">_xlfn.IFS(I132&gt;5%,"High risk",AND(I132&gt;=2%,I132&lt;=5%),"Mod risk",I132&lt;2%,"Low risk")</f>
        <v>Low risk</v>
      </c>
      <c r="M132" cm="1">
        <f t="array" ref="M132">_xlfn.IFS(L132="Low risk",1,L132="Mod risk",2,L132="high risk",3)</f>
        <v>1</v>
      </c>
    </row>
    <row r="133" spans="1:13" ht="18" customHeight="1" x14ac:dyDescent="0.3">
      <c r="A133" s="7" t="s">
        <v>135</v>
      </c>
      <c r="B133" s="14">
        <v>4548</v>
      </c>
      <c r="C133" s="14">
        <v>43</v>
      </c>
      <c r="D133" s="14">
        <v>2905</v>
      </c>
      <c r="E133" s="14">
        <v>1600</v>
      </c>
      <c r="F133" s="14">
        <v>7141091</v>
      </c>
      <c r="G133" s="7" t="s">
        <v>199</v>
      </c>
      <c r="H133" s="15">
        <v>43897</v>
      </c>
      <c r="I133" s="23">
        <f t="shared" si="6"/>
        <v>9.4547053649956022E-3</v>
      </c>
      <c r="J133" s="24">
        <f t="shared" si="7"/>
        <v>0.63874230430958667</v>
      </c>
      <c r="K133" s="25">
        <f t="shared" si="8"/>
        <v>6.368774743243014E-4</v>
      </c>
      <c r="L133" t="str" cm="1">
        <f t="array" ref="L133">_xlfn.IFS(I133&gt;5%,"High risk",AND(I133&gt;=2%,I133&lt;=5%),"Mod risk",I133&lt;2%,"Low risk")</f>
        <v>Low risk</v>
      </c>
      <c r="M133" cm="1">
        <f t="array" ref="M133">_xlfn.IFS(L133="Low risk",1,L133="Mod risk",2,L133="high risk",3)</f>
        <v>1</v>
      </c>
    </row>
    <row r="134" spans="1:13" ht="18" customHeight="1" x14ac:dyDescent="0.3">
      <c r="A134" s="6" t="s">
        <v>136</v>
      </c>
      <c r="B134" s="12">
        <v>389717</v>
      </c>
      <c r="C134" s="12">
        <v>18418</v>
      </c>
      <c r="D134" s="12">
        <v>272547</v>
      </c>
      <c r="E134" s="12">
        <v>98752</v>
      </c>
      <c r="F134" s="12">
        <v>33016319</v>
      </c>
      <c r="G134" s="6" t="s">
        <v>199</v>
      </c>
      <c r="H134" s="13">
        <v>43896</v>
      </c>
      <c r="I134" s="23">
        <f t="shared" si="6"/>
        <v>4.7259934773181564E-2</v>
      </c>
      <c r="J134" s="24">
        <f t="shared" si="7"/>
        <v>0.69934593564047753</v>
      </c>
      <c r="K134" s="25">
        <f t="shared" si="8"/>
        <v>1.180376891803111E-2</v>
      </c>
      <c r="L134" t="str" cm="1">
        <f t="array" ref="L134">_xlfn.IFS(I134&gt;5%,"High risk",AND(I134&gt;=2%,I134&lt;=5%),"Mod risk",I134&lt;2%,"Low risk")</f>
        <v>Mod risk</v>
      </c>
      <c r="M134" cm="1">
        <f t="array" ref="M134">_xlfn.IFS(L134="Low risk",1,L134="Mod risk",2,L134="high risk",3)</f>
        <v>2</v>
      </c>
    </row>
    <row r="135" spans="1:13" ht="18" customHeight="1" x14ac:dyDescent="0.3">
      <c r="A135" s="7" t="s">
        <v>137</v>
      </c>
      <c r="B135" s="14">
        <v>82040</v>
      </c>
      <c r="C135" s="14">
        <v>1945</v>
      </c>
      <c r="D135" s="14">
        <v>26446</v>
      </c>
      <c r="E135" s="14">
        <v>53649</v>
      </c>
      <c r="F135" s="14">
        <v>109722719</v>
      </c>
      <c r="G135" s="7" t="s">
        <v>195</v>
      </c>
      <c r="H135" s="15">
        <v>43860</v>
      </c>
      <c r="I135" s="23">
        <f t="shared" si="6"/>
        <v>2.370794734275963E-2</v>
      </c>
      <c r="J135" s="24">
        <f t="shared" si="7"/>
        <v>0.32235494880546073</v>
      </c>
      <c r="K135" s="25">
        <f t="shared" si="8"/>
        <v>7.4770294381786148E-4</v>
      </c>
      <c r="L135" t="str" cm="1">
        <f t="array" ref="L135">_xlfn.IFS(I135&gt;5%,"High risk",AND(I135&gt;=2%,I135&lt;=5%),"Mod risk",I135&lt;2%,"Low risk")</f>
        <v>Mod risk</v>
      </c>
      <c r="M135" cm="1">
        <f t="array" ref="M135">_xlfn.IFS(L135="Low risk",1,L135="Mod risk",2,L135="high risk",3)</f>
        <v>2</v>
      </c>
    </row>
    <row r="136" spans="1:13" ht="18" customHeight="1" x14ac:dyDescent="0.3">
      <c r="A136" s="6" t="s">
        <v>138</v>
      </c>
      <c r="B136" s="12">
        <v>43402</v>
      </c>
      <c r="C136" s="12">
        <v>1676</v>
      </c>
      <c r="D136" s="12">
        <v>32856</v>
      </c>
      <c r="E136" s="12">
        <v>8870</v>
      </c>
      <c r="F136" s="12">
        <v>37842302</v>
      </c>
      <c r="G136" s="6" t="s">
        <v>196</v>
      </c>
      <c r="H136" s="13">
        <v>43894</v>
      </c>
      <c r="I136" s="23">
        <f t="shared" si="6"/>
        <v>3.8615731993917331E-2</v>
      </c>
      <c r="J136" s="24">
        <f t="shared" si="7"/>
        <v>0.75701580572323857</v>
      </c>
      <c r="K136" s="25">
        <f t="shared" si="8"/>
        <v>1.1469175421727779E-3</v>
      </c>
      <c r="L136" t="str" cm="1">
        <f t="array" ref="L136">_xlfn.IFS(I136&gt;5%,"High risk",AND(I136&gt;=2%,I136&lt;=5%),"Mod risk",I136&lt;2%,"Low risk")</f>
        <v>Mod risk</v>
      </c>
      <c r="M136" cm="1">
        <f t="array" ref="M136">_xlfn.IFS(L136="Low risk",1,L136="Mod risk",2,L136="high risk",3)</f>
        <v>2</v>
      </c>
    </row>
    <row r="137" spans="1:13" ht="18" customHeight="1" x14ac:dyDescent="0.3">
      <c r="A137" s="7" t="s">
        <v>139</v>
      </c>
      <c r="B137" s="14">
        <v>50299</v>
      </c>
      <c r="C137" s="14">
        <v>1719</v>
      </c>
      <c r="D137" s="14">
        <v>35375</v>
      </c>
      <c r="E137" s="14">
        <v>13205</v>
      </c>
      <c r="F137" s="14">
        <v>10193593</v>
      </c>
      <c r="G137" s="7" t="s">
        <v>196</v>
      </c>
      <c r="H137" s="15">
        <v>43892</v>
      </c>
      <c r="I137" s="23">
        <f t="shared" si="6"/>
        <v>3.4175629734189548E-2</v>
      </c>
      <c r="J137" s="24">
        <f t="shared" si="7"/>
        <v>0.70329430008548877</v>
      </c>
      <c r="K137" s="25">
        <f t="shared" si="8"/>
        <v>4.9343739739265632E-3</v>
      </c>
      <c r="L137" t="str" cm="1">
        <f t="array" ref="L137">_xlfn.IFS(I137&gt;5%,"High risk",AND(I137&gt;=2%,I137&lt;=5%),"Mod risk",I137&lt;2%,"Low risk")</f>
        <v>Mod risk</v>
      </c>
      <c r="M137" cm="1">
        <f t="array" ref="M137">_xlfn.IFS(L137="Low risk",1,L137="Mod risk",2,L137="high risk",3)</f>
        <v>2</v>
      </c>
    </row>
    <row r="138" spans="1:13" ht="18" customHeight="1" x14ac:dyDescent="0.3">
      <c r="A138" s="6" t="s">
        <v>140</v>
      </c>
      <c r="B138" s="12">
        <v>109597</v>
      </c>
      <c r="C138" s="12">
        <v>165</v>
      </c>
      <c r="D138" s="12">
        <v>106328</v>
      </c>
      <c r="E138" s="12">
        <v>3104</v>
      </c>
      <c r="F138" s="12">
        <v>2807805</v>
      </c>
      <c r="G138" s="6" t="s">
        <v>195</v>
      </c>
      <c r="H138" s="13">
        <v>43888</v>
      </c>
      <c r="I138" s="23">
        <f t="shared" si="6"/>
        <v>1.5055156619250528E-3</v>
      </c>
      <c r="J138" s="24">
        <f t="shared" si="7"/>
        <v>0.97017254121919394</v>
      </c>
      <c r="K138" s="25">
        <f t="shared" si="8"/>
        <v>3.9032981278970584E-2</v>
      </c>
      <c r="L138" t="str" cm="1">
        <f t="array" ref="L138">_xlfn.IFS(I138&gt;5%,"High risk",AND(I138&gt;=2%,I138&lt;=5%),"Mod risk",I138&lt;2%,"Low risk")</f>
        <v>Low risk</v>
      </c>
      <c r="M138" cm="1">
        <f t="array" ref="M138">_xlfn.IFS(L138="Low risk",1,L138="Mod risk",2,L138="high risk",3)</f>
        <v>1</v>
      </c>
    </row>
    <row r="139" spans="1:13" ht="18" customHeight="1" x14ac:dyDescent="0.3">
      <c r="A139" s="7" t="s">
        <v>141</v>
      </c>
      <c r="B139" s="14">
        <v>45902</v>
      </c>
      <c r="C139" s="14">
        <v>2206</v>
      </c>
      <c r="D139" s="14">
        <v>25794</v>
      </c>
      <c r="E139" s="14">
        <v>17902</v>
      </c>
      <c r="F139" s="14">
        <v>19224023</v>
      </c>
      <c r="G139" s="7" t="s">
        <v>196</v>
      </c>
      <c r="H139" s="15">
        <v>43887</v>
      </c>
      <c r="I139" s="23">
        <f t="shared" si="6"/>
        <v>4.805890810857915E-2</v>
      </c>
      <c r="J139" s="24">
        <f t="shared" si="7"/>
        <v>0.56193629907193587</v>
      </c>
      <c r="K139" s="25">
        <f t="shared" si="8"/>
        <v>2.3877416293145303E-3</v>
      </c>
      <c r="L139" t="str" cm="1">
        <f t="array" ref="L139">_xlfn.IFS(I139&gt;5%,"High risk",AND(I139&gt;=2%,I139&lt;=5%),"Mod risk",I139&lt;2%,"Low risk")</f>
        <v>Mod risk</v>
      </c>
      <c r="M139" cm="1">
        <f t="array" ref="M139">_xlfn.IFS(L139="Low risk",1,L139="Mod risk",2,L139="high risk",3)</f>
        <v>2</v>
      </c>
    </row>
    <row r="140" spans="1:13" ht="18" customHeight="1" x14ac:dyDescent="0.3">
      <c r="A140" s="6" t="s">
        <v>142</v>
      </c>
      <c r="B140" s="12">
        <v>816680</v>
      </c>
      <c r="C140" s="12">
        <v>13334</v>
      </c>
      <c r="D140" s="12">
        <v>602249</v>
      </c>
      <c r="E140" s="12">
        <v>201097</v>
      </c>
      <c r="F140" s="12">
        <v>145940924</v>
      </c>
      <c r="G140" s="6" t="s">
        <v>196</v>
      </c>
      <c r="H140" s="13">
        <v>43861</v>
      </c>
      <c r="I140" s="23">
        <f t="shared" si="6"/>
        <v>1.6327080374197972E-2</v>
      </c>
      <c r="J140" s="24">
        <f t="shared" si="7"/>
        <v>0.73743571533525987</v>
      </c>
      <c r="K140" s="25">
        <f t="shared" si="8"/>
        <v>5.5959629253820543E-3</v>
      </c>
      <c r="L140" t="str" cm="1">
        <f t="array" ref="L140">_xlfn.IFS(I140&gt;5%,"High risk",AND(I140&gt;=2%,I140&lt;=5%),"Mod risk",I140&lt;2%,"Low risk")</f>
        <v>Low risk</v>
      </c>
      <c r="M140" cm="1">
        <f t="array" ref="M140">_xlfn.IFS(L140="Low risk",1,L140="Mod risk",2,L140="high risk",3)</f>
        <v>1</v>
      </c>
    </row>
    <row r="141" spans="1:13" ht="18" customHeight="1" x14ac:dyDescent="0.3">
      <c r="A141" s="7" t="s">
        <v>143</v>
      </c>
      <c r="B141" s="14">
        <v>1879</v>
      </c>
      <c r="C141" s="14">
        <v>5</v>
      </c>
      <c r="D141" s="14">
        <v>975</v>
      </c>
      <c r="E141" s="14">
        <v>899</v>
      </c>
      <c r="F141" s="14">
        <v>12981546</v>
      </c>
      <c r="G141" s="7" t="s">
        <v>197</v>
      </c>
      <c r="H141" s="15">
        <v>43904</v>
      </c>
      <c r="I141" s="23">
        <f t="shared" si="6"/>
        <v>2.6609898882384245E-3</v>
      </c>
      <c r="J141" s="24">
        <f t="shared" si="7"/>
        <v>0.51889302820649286</v>
      </c>
      <c r="K141" s="25">
        <f t="shared" si="8"/>
        <v>1.4474393111575461E-4</v>
      </c>
      <c r="L141" t="str" cm="1">
        <f t="array" ref="L141">_xlfn.IFS(I141&gt;5%,"High risk",AND(I141&gt;=2%,I141&lt;=5%),"Mod risk",I141&lt;2%,"Low risk")</f>
        <v>Low risk</v>
      </c>
      <c r="M141" cm="1">
        <f t="array" ref="M141">_xlfn.IFS(L141="Low risk",1,L141="Mod risk",2,L141="high risk",3)</f>
        <v>1</v>
      </c>
    </row>
    <row r="142" spans="1:13" ht="18" customHeight="1" x14ac:dyDescent="0.3">
      <c r="A142" s="6" t="s">
        <v>144</v>
      </c>
      <c r="B142" s="12">
        <v>17</v>
      </c>
      <c r="C142" s="12">
        <v>0</v>
      </c>
      <c r="D142" s="12">
        <v>15</v>
      </c>
      <c r="E142" s="12">
        <v>2</v>
      </c>
      <c r="F142" s="12">
        <v>53237</v>
      </c>
      <c r="G142" s="6" t="s">
        <v>198</v>
      </c>
      <c r="H142" s="13">
        <v>43914</v>
      </c>
      <c r="I142" s="23">
        <f t="shared" si="6"/>
        <v>0</v>
      </c>
      <c r="J142" s="24">
        <f t="shared" si="7"/>
        <v>0.88235294117647056</v>
      </c>
      <c r="K142" s="25">
        <f t="shared" si="8"/>
        <v>3.1932678400360654E-4</v>
      </c>
      <c r="L142" t="str" cm="1">
        <f t="array" ref="L142">_xlfn.IFS(I142&gt;5%,"High risk",AND(I142&gt;=2%,I142&lt;=5%),"Mod risk",I142&lt;2%,"Low risk")</f>
        <v>Low risk</v>
      </c>
      <c r="M142" cm="1">
        <f t="array" ref="M142">_xlfn.IFS(L142="Low risk",1,L142="Mod risk",2,L142="high risk",3)</f>
        <v>1</v>
      </c>
    </row>
    <row r="143" spans="1:13" ht="18" customHeight="1" x14ac:dyDescent="0.3">
      <c r="A143" s="7" t="s">
        <v>145</v>
      </c>
      <c r="B143" s="14">
        <v>24</v>
      </c>
      <c r="C143" s="14">
        <v>0</v>
      </c>
      <c r="D143" s="14">
        <v>22</v>
      </c>
      <c r="E143" s="14">
        <v>2</v>
      </c>
      <c r="F143" s="14">
        <v>183712</v>
      </c>
      <c r="G143" s="7" t="s">
        <v>198</v>
      </c>
      <c r="H143" s="15">
        <v>43903</v>
      </c>
      <c r="I143" s="23">
        <f t="shared" si="6"/>
        <v>0</v>
      </c>
      <c r="J143" s="24">
        <f t="shared" si="7"/>
        <v>0.91666666666666663</v>
      </c>
      <c r="K143" s="25">
        <f t="shared" si="8"/>
        <v>1.306392614527086E-4</v>
      </c>
      <c r="L143" t="str" cm="1">
        <f t="array" ref="L143">_xlfn.IFS(I143&gt;5%,"High risk",AND(I143&gt;=2%,I143&lt;=5%),"Mod risk",I143&lt;2%,"Low risk")</f>
        <v>Low risk</v>
      </c>
      <c r="M143" cm="1">
        <f t="array" ref="M143">_xlfn.IFS(L143="Low risk",1,L143="Mod risk",2,L143="high risk",3)</f>
        <v>1</v>
      </c>
    </row>
    <row r="144" spans="1:13" ht="18" customHeight="1" x14ac:dyDescent="0.3">
      <c r="A144" s="6" t="s">
        <v>146</v>
      </c>
      <c r="B144" s="12">
        <v>52</v>
      </c>
      <c r="C144" s="12">
        <v>0</v>
      </c>
      <c r="D144" s="12">
        <v>39</v>
      </c>
      <c r="E144" s="12">
        <v>13</v>
      </c>
      <c r="F144" s="16">
        <v>104000</v>
      </c>
      <c r="G144" s="6" t="s">
        <v>198</v>
      </c>
      <c r="H144" s="13">
        <v>43901</v>
      </c>
      <c r="I144" s="23">
        <f t="shared" si="6"/>
        <v>0</v>
      </c>
      <c r="J144" s="24">
        <f t="shared" si="7"/>
        <v>0.75</v>
      </c>
      <c r="K144" s="25">
        <f t="shared" si="8"/>
        <v>5.0000000000000001E-4</v>
      </c>
      <c r="L144" t="str" cm="1">
        <f t="array" ref="L144">_xlfn.IFS(I144&gt;5%,"High risk",AND(I144&gt;=2%,I144&lt;=5%),"Mod risk",I144&lt;2%,"Low risk")</f>
        <v>Low risk</v>
      </c>
      <c r="M144" cm="1">
        <f t="array" ref="M144">_xlfn.IFS(L144="Low risk",1,L144="Mod risk",2,L144="high risk",3)</f>
        <v>1</v>
      </c>
    </row>
    <row r="145" spans="1:13" ht="18" customHeight="1" x14ac:dyDescent="0.3">
      <c r="A145" s="7" t="s">
        <v>147</v>
      </c>
      <c r="B145" s="14">
        <v>699</v>
      </c>
      <c r="C145" s="14">
        <v>42</v>
      </c>
      <c r="D145" s="14">
        <v>657</v>
      </c>
      <c r="E145" s="14">
        <v>0</v>
      </c>
      <c r="F145" s="14">
        <v>33938</v>
      </c>
      <c r="G145" s="7" t="s">
        <v>196</v>
      </c>
      <c r="H145" s="15">
        <v>43888</v>
      </c>
      <c r="I145" s="23">
        <f t="shared" si="6"/>
        <v>6.0085836909871244E-2</v>
      </c>
      <c r="J145" s="24">
        <f t="shared" si="7"/>
        <v>0.93991416309012876</v>
      </c>
      <c r="K145" s="25">
        <f t="shared" si="8"/>
        <v>2.0596381637102954E-2</v>
      </c>
      <c r="L145" t="str" cm="1">
        <f t="array" ref="L145">_xlfn.IFS(I145&gt;5%,"High risk",AND(I145&gt;=2%,I145&lt;=5%),"Mod risk",I145&lt;2%,"Low risk")</f>
        <v>High risk</v>
      </c>
      <c r="M145" cm="1">
        <f t="array" ref="M145">_xlfn.IFS(L145="Low risk",1,L145="Mod risk",2,L145="high risk",3)</f>
        <v>3</v>
      </c>
    </row>
    <row r="146" spans="1:13" ht="18" customHeight="1" x14ac:dyDescent="0.3">
      <c r="A146" s="6" t="s">
        <v>148</v>
      </c>
      <c r="B146" s="12">
        <v>865</v>
      </c>
      <c r="C146" s="12">
        <v>14</v>
      </c>
      <c r="D146" s="12">
        <v>734</v>
      </c>
      <c r="E146" s="12">
        <v>117</v>
      </c>
      <c r="F146" s="12">
        <v>219544</v>
      </c>
      <c r="G146" s="6" t="s">
        <v>197</v>
      </c>
      <c r="H146" s="13">
        <v>43927</v>
      </c>
      <c r="I146" s="23">
        <f t="shared" si="6"/>
        <v>1.6184971098265895E-2</v>
      </c>
      <c r="J146" s="24">
        <f t="shared" si="7"/>
        <v>0.84855491329479771</v>
      </c>
      <c r="K146" s="25">
        <f t="shared" si="8"/>
        <v>3.9399846955507781E-3</v>
      </c>
      <c r="L146" t="str" cm="1">
        <f t="array" ref="L146">_xlfn.IFS(I146&gt;5%,"High risk",AND(I146&gt;=2%,I146&lt;=5%),"Mod risk",I146&lt;2%,"Low risk")</f>
        <v>Low risk</v>
      </c>
      <c r="M146" cm="1">
        <f t="array" ref="M146">_xlfn.IFS(L146="Low risk",1,L146="Mod risk",2,L146="high risk",3)</f>
        <v>1</v>
      </c>
    </row>
    <row r="147" spans="1:13" ht="18" customHeight="1" x14ac:dyDescent="0.3">
      <c r="A147" s="7" t="s">
        <v>149</v>
      </c>
      <c r="B147" s="14">
        <v>268934</v>
      </c>
      <c r="C147" s="14">
        <v>2760</v>
      </c>
      <c r="D147" s="14">
        <v>222936</v>
      </c>
      <c r="E147" s="14">
        <v>43238</v>
      </c>
      <c r="F147" s="14">
        <v>34865919</v>
      </c>
      <c r="G147" s="7" t="s">
        <v>195</v>
      </c>
      <c r="H147" s="15">
        <v>43892</v>
      </c>
      <c r="I147" s="23">
        <f t="shared" si="6"/>
        <v>1.0262741044271086E-2</v>
      </c>
      <c r="J147" s="24">
        <f t="shared" si="7"/>
        <v>0.8289617526976879</v>
      </c>
      <c r="K147" s="25">
        <f t="shared" si="8"/>
        <v>7.7133776396371484E-3</v>
      </c>
      <c r="L147" t="str" cm="1">
        <f t="array" ref="L147">_xlfn.IFS(I147&gt;5%,"High risk",AND(I147&gt;=2%,I147&lt;=5%),"Mod risk",I147&lt;2%,"Low risk")</f>
        <v>Low risk</v>
      </c>
      <c r="M147" cm="1">
        <f t="array" ref="M147">_xlfn.IFS(L147="Low risk",1,L147="Mod risk",2,L147="high risk",3)</f>
        <v>1</v>
      </c>
    </row>
    <row r="148" spans="1:13" ht="18" customHeight="1" x14ac:dyDescent="0.3">
      <c r="A148" s="6" t="s">
        <v>150</v>
      </c>
      <c r="B148" s="12">
        <v>9764</v>
      </c>
      <c r="C148" s="12">
        <v>194</v>
      </c>
      <c r="D148" s="12">
        <v>6477</v>
      </c>
      <c r="E148" s="12">
        <v>3093</v>
      </c>
      <c r="F148" s="12">
        <v>16783877</v>
      </c>
      <c r="G148" s="6" t="s">
        <v>197</v>
      </c>
      <c r="H148" s="13">
        <v>43892</v>
      </c>
      <c r="I148" s="23">
        <f t="shared" si="6"/>
        <v>1.9868906185989348E-2</v>
      </c>
      <c r="J148" s="24">
        <f t="shared" si="7"/>
        <v>0.66335518230233514</v>
      </c>
      <c r="K148" s="25">
        <f t="shared" si="8"/>
        <v>5.8174878188156404E-4</v>
      </c>
      <c r="L148" t="str" cm="1">
        <f t="array" ref="L148">_xlfn.IFS(I148&gt;5%,"High risk",AND(I148&gt;=2%,I148&lt;=5%),"Mod risk",I148&lt;2%,"Low risk")</f>
        <v>Low risk</v>
      </c>
      <c r="M148" cm="1">
        <f t="array" ref="M148">_xlfn.IFS(L148="Low risk",1,L148="Mod risk",2,L148="high risk",3)</f>
        <v>1</v>
      </c>
    </row>
    <row r="149" spans="1:13" ht="18" customHeight="1" x14ac:dyDescent="0.3">
      <c r="A149" s="7" t="s">
        <v>151</v>
      </c>
      <c r="B149" s="14">
        <v>24141</v>
      </c>
      <c r="C149" s="14">
        <v>543</v>
      </c>
      <c r="D149" s="14">
        <v>0</v>
      </c>
      <c r="E149" s="14">
        <v>23598</v>
      </c>
      <c r="F149" s="14">
        <v>8733665</v>
      </c>
      <c r="G149" s="7" t="s">
        <v>196</v>
      </c>
      <c r="H149" s="15">
        <v>43896</v>
      </c>
      <c r="I149" s="23">
        <f t="shared" si="6"/>
        <v>2.2492854479930408E-2</v>
      </c>
      <c r="J149" s="24">
        <f t="shared" si="7"/>
        <v>0</v>
      </c>
      <c r="K149" s="25">
        <f t="shared" si="8"/>
        <v>2.7641316675187334E-3</v>
      </c>
      <c r="L149" t="str" cm="1">
        <f t="array" ref="L149">_xlfn.IFS(I149&gt;5%,"High risk",AND(I149&gt;=2%,I149&lt;=5%),"Mod risk",I149&lt;2%,"Low risk")</f>
        <v>Mod risk</v>
      </c>
      <c r="M149" cm="1">
        <f t="array" ref="M149">_xlfn.IFS(L149="Low risk",1,L149="Mod risk",2,L149="high risk",3)</f>
        <v>2</v>
      </c>
    </row>
    <row r="150" spans="1:13" ht="18" customHeight="1" x14ac:dyDescent="0.3">
      <c r="A150" s="6" t="s">
        <v>152</v>
      </c>
      <c r="B150" s="12">
        <v>114</v>
      </c>
      <c r="C150" s="12">
        <v>0</v>
      </c>
      <c r="D150" s="12">
        <v>39</v>
      </c>
      <c r="E150" s="12">
        <v>75</v>
      </c>
      <c r="F150" s="12">
        <v>98408</v>
      </c>
      <c r="G150" s="6" t="s">
        <v>197</v>
      </c>
      <c r="H150" s="13">
        <v>43904</v>
      </c>
      <c r="I150" s="23">
        <f t="shared" si="6"/>
        <v>0</v>
      </c>
      <c r="J150" s="24">
        <f t="shared" si="7"/>
        <v>0.34210526315789475</v>
      </c>
      <c r="K150" s="25">
        <f t="shared" si="8"/>
        <v>1.158442403056662E-3</v>
      </c>
      <c r="L150" t="str" cm="1">
        <f t="array" ref="L150">_xlfn.IFS(I150&gt;5%,"High risk",AND(I150&gt;=2%,I150&lt;=5%),"Mod risk",I150&lt;2%,"Low risk")</f>
        <v>Low risk</v>
      </c>
      <c r="M150" cm="1">
        <f t="array" ref="M150">_xlfn.IFS(L150="Low risk",1,L150="Mod risk",2,L150="high risk",3)</f>
        <v>1</v>
      </c>
    </row>
    <row r="151" spans="1:13" ht="18" customHeight="1" x14ac:dyDescent="0.3">
      <c r="A151" s="7" t="s">
        <v>153</v>
      </c>
      <c r="B151" s="14">
        <v>1783</v>
      </c>
      <c r="C151" s="14">
        <v>66</v>
      </c>
      <c r="D151" s="14">
        <v>1317</v>
      </c>
      <c r="E151" s="14">
        <v>400</v>
      </c>
      <c r="F151" s="14">
        <v>7992169</v>
      </c>
      <c r="G151" s="7" t="s">
        <v>197</v>
      </c>
      <c r="H151" s="15">
        <v>43921</v>
      </c>
      <c r="I151" s="23">
        <f t="shared" si="6"/>
        <v>3.7016264722378012E-2</v>
      </c>
      <c r="J151" s="24">
        <f t="shared" si="7"/>
        <v>0.73864273696017946</v>
      </c>
      <c r="K151" s="25">
        <f t="shared" si="8"/>
        <v>2.230933805328691E-4</v>
      </c>
      <c r="L151" t="str" cm="1">
        <f t="array" ref="L151">_xlfn.IFS(I151&gt;5%,"High risk",AND(I151&gt;=2%,I151&lt;=5%),"Mod risk",I151&lt;2%,"Low risk")</f>
        <v>Mod risk</v>
      </c>
      <c r="M151" cm="1">
        <f t="array" ref="M151">_xlfn.IFS(L151="Low risk",1,L151="Mod risk",2,L151="high risk",3)</f>
        <v>2</v>
      </c>
    </row>
    <row r="152" spans="1:13" ht="18" customHeight="1" x14ac:dyDescent="0.3">
      <c r="A152" s="6" t="s">
        <v>154</v>
      </c>
      <c r="B152" s="12">
        <v>50838</v>
      </c>
      <c r="C152" s="12">
        <v>27</v>
      </c>
      <c r="D152" s="12">
        <v>45692</v>
      </c>
      <c r="E152" s="12">
        <v>5119</v>
      </c>
      <c r="F152" s="12">
        <v>5854932</v>
      </c>
      <c r="G152" s="6" t="s">
        <v>195</v>
      </c>
      <c r="H152" s="13">
        <v>43853</v>
      </c>
      <c r="I152" s="23">
        <f t="shared" si="6"/>
        <v>5.3109878437389356E-4</v>
      </c>
      <c r="J152" s="24">
        <f t="shared" si="7"/>
        <v>0.89877650576340529</v>
      </c>
      <c r="K152" s="25">
        <f t="shared" si="8"/>
        <v>8.6829360272672688E-3</v>
      </c>
      <c r="L152" t="str" cm="1">
        <f t="array" ref="L152">_xlfn.IFS(I152&gt;5%,"High risk",AND(I152&gt;=2%,I152&lt;=5%),"Mod risk",I152&lt;2%,"Low risk")</f>
        <v>Low risk</v>
      </c>
      <c r="M152" cm="1">
        <f t="array" ref="M152">_xlfn.IFS(L152="Low risk",1,L152="Mod risk",2,L152="high risk",3)</f>
        <v>1</v>
      </c>
    </row>
    <row r="153" spans="1:13" ht="18" customHeight="1" x14ac:dyDescent="0.3">
      <c r="A153" s="7" t="s">
        <v>155</v>
      </c>
      <c r="B153" s="14">
        <v>2181</v>
      </c>
      <c r="C153" s="14">
        <v>28</v>
      </c>
      <c r="D153" s="14">
        <v>1616</v>
      </c>
      <c r="E153" s="14">
        <v>537</v>
      </c>
      <c r="F153" s="14">
        <v>5459915</v>
      </c>
      <c r="G153" s="7" t="s">
        <v>196</v>
      </c>
      <c r="H153" s="15">
        <v>43896</v>
      </c>
      <c r="I153" s="23">
        <f t="shared" si="6"/>
        <v>1.2838147638697846E-2</v>
      </c>
      <c r="J153" s="24">
        <f t="shared" si="7"/>
        <v>0.74094452086198992</v>
      </c>
      <c r="K153" s="25">
        <f t="shared" si="8"/>
        <v>3.994567680998697E-4</v>
      </c>
      <c r="L153" t="str" cm="1">
        <f t="array" ref="L153">_xlfn.IFS(I153&gt;5%,"High risk",AND(I153&gt;=2%,I153&lt;=5%),"Mod risk",I153&lt;2%,"Low risk")</f>
        <v>Low risk</v>
      </c>
      <c r="M153" cm="1">
        <f t="array" ref="M153">_xlfn.IFS(L153="Low risk",1,L153="Mod risk",2,L153="high risk",3)</f>
        <v>1</v>
      </c>
    </row>
    <row r="154" spans="1:13" ht="18" customHeight="1" x14ac:dyDescent="0.3">
      <c r="A154" s="6" t="s">
        <v>156</v>
      </c>
      <c r="B154" s="12">
        <v>2087</v>
      </c>
      <c r="C154" s="12">
        <v>116</v>
      </c>
      <c r="D154" s="12">
        <v>1733</v>
      </c>
      <c r="E154" s="12">
        <v>238</v>
      </c>
      <c r="F154" s="12">
        <v>2078968</v>
      </c>
      <c r="G154" s="6" t="s">
        <v>196</v>
      </c>
      <c r="H154" s="13">
        <v>43894</v>
      </c>
      <c r="I154" s="23">
        <f t="shared" si="6"/>
        <v>5.558217537134643E-2</v>
      </c>
      <c r="J154" s="24">
        <f t="shared" si="7"/>
        <v>0.83037853378054627</v>
      </c>
      <c r="K154" s="25">
        <f t="shared" si="8"/>
        <v>1.0038634553297598E-3</v>
      </c>
      <c r="L154" t="str" cm="1">
        <f t="array" ref="L154">_xlfn.IFS(I154&gt;5%,"High risk",AND(I154&gt;=2%,I154&lt;=5%),"Mod risk",I154&lt;2%,"Low risk")</f>
        <v>High risk</v>
      </c>
      <c r="M154" cm="1">
        <f t="array" ref="M154">_xlfn.IFS(L154="Low risk",1,L154="Mod risk",2,L154="high risk",3)</f>
        <v>3</v>
      </c>
    </row>
    <row r="155" spans="1:13" ht="18" customHeight="1" x14ac:dyDescent="0.3">
      <c r="A155" s="7" t="s">
        <v>157</v>
      </c>
      <c r="B155" s="14">
        <v>3196</v>
      </c>
      <c r="C155" s="14">
        <v>93</v>
      </c>
      <c r="D155" s="14">
        <v>1543</v>
      </c>
      <c r="E155" s="14">
        <v>1560</v>
      </c>
      <c r="F155" s="14">
        <v>15933012</v>
      </c>
      <c r="G155" s="7" t="s">
        <v>197</v>
      </c>
      <c r="H155" s="15">
        <v>43906</v>
      </c>
      <c r="I155" s="23">
        <f t="shared" si="6"/>
        <v>2.9098873591989989E-2</v>
      </c>
      <c r="J155" s="24">
        <f t="shared" si="7"/>
        <v>0.48279098873591991</v>
      </c>
      <c r="K155" s="25">
        <f t="shared" si="8"/>
        <v>2.0058981942648382E-4</v>
      </c>
      <c r="L155" t="str" cm="1">
        <f t="array" ref="L155">_xlfn.IFS(I155&gt;5%,"High risk",AND(I155&gt;=2%,I155&lt;=5%),"Mod risk",I155&lt;2%,"Low risk")</f>
        <v>Mod risk</v>
      </c>
      <c r="M155" cm="1">
        <f t="array" ref="M155">_xlfn.IFS(L155="Low risk",1,L155="Mod risk",2,L155="high risk",3)</f>
        <v>2</v>
      </c>
    </row>
    <row r="156" spans="1:13" ht="18" customHeight="1" x14ac:dyDescent="0.3">
      <c r="A156" s="6" t="s">
        <v>158</v>
      </c>
      <c r="B156" s="12">
        <v>452529</v>
      </c>
      <c r="C156" s="12">
        <v>7067</v>
      </c>
      <c r="D156" s="12">
        <v>274925</v>
      </c>
      <c r="E156" s="12">
        <v>170537</v>
      </c>
      <c r="F156" s="12">
        <v>59381566</v>
      </c>
      <c r="G156" s="6" t="s">
        <v>197</v>
      </c>
      <c r="H156" s="13">
        <v>43895</v>
      </c>
      <c r="I156" s="23">
        <f t="shared" si="6"/>
        <v>1.5616678710093718E-2</v>
      </c>
      <c r="J156" s="24">
        <f t="shared" si="7"/>
        <v>0.60753012514115112</v>
      </c>
      <c r="K156" s="25">
        <f t="shared" si="8"/>
        <v>7.6206983157028904E-3</v>
      </c>
      <c r="L156" t="str" cm="1">
        <f t="array" ref="L156">_xlfn.IFS(I156&gt;5%,"High risk",AND(I156&gt;=2%,I156&lt;=5%),"Mod risk",I156&lt;2%,"Low risk")</f>
        <v>Low risk</v>
      </c>
      <c r="M156" cm="1">
        <f t="array" ref="M156">_xlfn.IFS(L156="Low risk",1,L156="Mod risk",2,L156="high risk",3)</f>
        <v>1</v>
      </c>
    </row>
    <row r="157" spans="1:13" ht="18" customHeight="1" x14ac:dyDescent="0.3">
      <c r="A157" s="7" t="s">
        <v>159</v>
      </c>
      <c r="B157" s="14">
        <v>14203</v>
      </c>
      <c r="C157" s="14">
        <v>300</v>
      </c>
      <c r="D157" s="14">
        <v>13007</v>
      </c>
      <c r="E157" s="14">
        <v>896</v>
      </c>
      <c r="F157" s="14">
        <v>51273732</v>
      </c>
      <c r="G157" s="7" t="s">
        <v>195</v>
      </c>
      <c r="H157" s="15">
        <v>43850</v>
      </c>
      <c r="I157" s="23">
        <f t="shared" si="6"/>
        <v>2.1122298106033936E-2</v>
      </c>
      <c r="J157" s="24">
        <f t="shared" si="7"/>
        <v>0.91579243821727807</v>
      </c>
      <c r="K157" s="25">
        <f t="shared" si="8"/>
        <v>2.7700343715959667E-4</v>
      </c>
      <c r="L157" t="str" cm="1">
        <f t="array" ref="L157">_xlfn.IFS(I157&gt;5%,"High risk",AND(I157&gt;=2%,I157&lt;=5%),"Mod risk",I157&lt;2%,"Low risk")</f>
        <v>Mod risk</v>
      </c>
      <c r="M157" cm="1">
        <f t="array" ref="M157">_xlfn.IFS(L157="Low risk",1,L157="Mod risk",2,L157="high risk",3)</f>
        <v>2</v>
      </c>
    </row>
    <row r="158" spans="1:13" ht="18" customHeight="1" x14ac:dyDescent="0.3">
      <c r="A158" s="6" t="s">
        <v>160</v>
      </c>
      <c r="B158" s="12">
        <v>2305</v>
      </c>
      <c r="C158" s="12">
        <v>46</v>
      </c>
      <c r="D158" s="12">
        <v>1175</v>
      </c>
      <c r="E158" s="12">
        <v>1084</v>
      </c>
      <c r="F158" s="12">
        <v>11206572</v>
      </c>
      <c r="G158" s="6" t="s">
        <v>197</v>
      </c>
      <c r="H158" s="13">
        <v>43926</v>
      </c>
      <c r="I158" s="23">
        <f t="shared" si="6"/>
        <v>1.9956616052060738E-2</v>
      </c>
      <c r="J158" s="24">
        <f t="shared" si="7"/>
        <v>0.50976138828633411</v>
      </c>
      <c r="K158" s="25">
        <f t="shared" si="8"/>
        <v>2.0568287965311784E-4</v>
      </c>
      <c r="L158" t="str" cm="1">
        <f t="array" ref="L158">_xlfn.IFS(I158&gt;5%,"High risk",AND(I158&gt;=2%,I158&lt;=5%),"Mod risk",I158&lt;2%,"Low risk")</f>
        <v>Low risk</v>
      </c>
      <c r="M158" cm="1">
        <f t="array" ref="M158">_xlfn.IFS(L158="Low risk",1,L158="Mod risk",2,L158="high risk",3)</f>
        <v>1</v>
      </c>
    </row>
    <row r="159" spans="1:13" ht="18" customHeight="1" x14ac:dyDescent="0.3">
      <c r="A159" s="7" t="s">
        <v>161</v>
      </c>
      <c r="B159" s="14">
        <v>272421</v>
      </c>
      <c r="C159" s="14">
        <v>28432</v>
      </c>
      <c r="D159" s="14">
        <v>150376</v>
      </c>
      <c r="E159" s="14">
        <v>93613</v>
      </c>
      <c r="F159" s="14">
        <v>46756648</v>
      </c>
      <c r="G159" s="7" t="s">
        <v>196</v>
      </c>
      <c r="H159" s="15">
        <v>43861</v>
      </c>
      <c r="I159" s="23">
        <f t="shared" si="6"/>
        <v>0.10436787178668311</v>
      </c>
      <c r="J159" s="24">
        <f t="shared" si="7"/>
        <v>0.55199856105072664</v>
      </c>
      <c r="K159" s="25">
        <f t="shared" si="8"/>
        <v>5.8263586388827534E-3</v>
      </c>
      <c r="L159" t="str" cm="1">
        <f t="array" ref="L159">_xlfn.IFS(I159&gt;5%,"High risk",AND(I159&gt;=2%,I159&lt;=5%),"Mod risk",I159&lt;2%,"Low risk")</f>
        <v>High risk</v>
      </c>
      <c r="M159" cm="1">
        <f t="array" ref="M159">_xlfn.IFS(L159="Low risk",1,L159="Mod risk",2,L159="high risk",3)</f>
        <v>3</v>
      </c>
    </row>
    <row r="160" spans="1:13" ht="18" customHeight="1" x14ac:dyDescent="0.3">
      <c r="A160" s="6" t="s">
        <v>162</v>
      </c>
      <c r="B160" s="12">
        <v>2805</v>
      </c>
      <c r="C160" s="12">
        <v>11</v>
      </c>
      <c r="D160" s="12">
        <v>2121</v>
      </c>
      <c r="E160" s="12">
        <v>673</v>
      </c>
      <c r="F160" s="12">
        <v>21422362</v>
      </c>
      <c r="G160" s="6" t="s">
        <v>195</v>
      </c>
      <c r="H160" s="13">
        <v>43857</v>
      </c>
      <c r="I160" s="23">
        <f t="shared" si="6"/>
        <v>3.9215686274509803E-3</v>
      </c>
      <c r="J160" s="24">
        <f t="shared" si="7"/>
        <v>0.75614973262032081</v>
      </c>
      <c r="K160" s="25">
        <f t="shared" si="8"/>
        <v>1.3093794232400704E-4</v>
      </c>
      <c r="L160" t="str" cm="1">
        <f t="array" ref="L160">_xlfn.IFS(I160&gt;5%,"High risk",AND(I160&gt;=2%,I160&lt;=5%),"Mod risk",I160&lt;2%,"Low risk")</f>
        <v>Low risk</v>
      </c>
      <c r="M160" cm="1">
        <f t="array" ref="M160">_xlfn.IFS(L160="Low risk",1,L160="Mod risk",2,L160="high risk",3)</f>
        <v>1</v>
      </c>
    </row>
    <row r="161" spans="1:13" ht="18" customHeight="1" x14ac:dyDescent="0.3">
      <c r="A161" s="7" t="s">
        <v>163</v>
      </c>
      <c r="B161" s="14">
        <v>11424</v>
      </c>
      <c r="C161" s="14">
        <v>720</v>
      </c>
      <c r="D161" s="14">
        <v>5939</v>
      </c>
      <c r="E161" s="14">
        <v>4765</v>
      </c>
      <c r="F161" s="14">
        <v>43943536</v>
      </c>
      <c r="G161" s="7" t="s">
        <v>197</v>
      </c>
      <c r="H161" s="15">
        <v>43903</v>
      </c>
      <c r="I161" s="23">
        <f t="shared" si="6"/>
        <v>6.3025210084033612E-2</v>
      </c>
      <c r="J161" s="24">
        <f t="shared" si="7"/>
        <v>0.51987044817927175</v>
      </c>
      <c r="K161" s="25">
        <f t="shared" si="8"/>
        <v>2.5996997601649536E-4</v>
      </c>
      <c r="L161" t="str" cm="1">
        <f t="array" ref="L161">_xlfn.IFS(I161&gt;5%,"High risk",AND(I161&gt;=2%,I161&lt;=5%),"Mod risk",I161&lt;2%,"Low risk")</f>
        <v>High risk</v>
      </c>
      <c r="M161" cm="1">
        <f t="array" ref="M161">_xlfn.IFS(L161="Low risk",1,L161="Mod risk",2,L161="high risk",3)</f>
        <v>3</v>
      </c>
    </row>
    <row r="162" spans="1:13" ht="18" customHeight="1" x14ac:dyDescent="0.3">
      <c r="A162" s="6" t="s">
        <v>164</v>
      </c>
      <c r="B162" s="12">
        <v>1483</v>
      </c>
      <c r="C162" s="12">
        <v>24</v>
      </c>
      <c r="D162" s="12">
        <v>925</v>
      </c>
      <c r="E162" s="12">
        <v>534</v>
      </c>
      <c r="F162" s="12">
        <v>587154</v>
      </c>
      <c r="G162" s="6" t="s">
        <v>199</v>
      </c>
      <c r="H162" s="13">
        <v>43903</v>
      </c>
      <c r="I162" s="23">
        <f t="shared" si="6"/>
        <v>1.6183412002697236E-2</v>
      </c>
      <c r="J162" s="24">
        <f t="shared" si="7"/>
        <v>0.62373567093728932</v>
      </c>
      <c r="K162" s="25">
        <f t="shared" si="8"/>
        <v>2.5257428204525558E-3</v>
      </c>
      <c r="L162" t="str" cm="1">
        <f t="array" ref="L162">_xlfn.IFS(I162&gt;5%,"High risk",AND(I162&gt;=2%,I162&lt;=5%),"Mod risk",I162&lt;2%,"Low risk")</f>
        <v>Low risk</v>
      </c>
      <c r="M162" cm="1">
        <f t="array" ref="M162">_xlfn.IFS(L162="Low risk",1,L162="Mod risk",2,L162="high risk",3)</f>
        <v>1</v>
      </c>
    </row>
    <row r="163" spans="1:13" ht="18" customHeight="1" x14ac:dyDescent="0.3">
      <c r="A163" s="7" t="s">
        <v>165</v>
      </c>
      <c r="B163" s="14">
        <v>79395</v>
      </c>
      <c r="C163" s="14">
        <v>5700</v>
      </c>
      <c r="D163" s="14">
        <v>0</v>
      </c>
      <c r="E163" s="14">
        <v>73695</v>
      </c>
      <c r="F163" s="14">
        <v>10105596</v>
      </c>
      <c r="G163" s="7" t="s">
        <v>196</v>
      </c>
      <c r="H163" s="15">
        <v>43861</v>
      </c>
      <c r="I163" s="23">
        <f t="shared" si="6"/>
        <v>7.1792934063857922E-2</v>
      </c>
      <c r="J163" s="24">
        <f t="shared" si="7"/>
        <v>0</v>
      </c>
      <c r="K163" s="25">
        <f t="shared" si="8"/>
        <v>7.8565381002763217E-3</v>
      </c>
      <c r="L163" t="str" cm="1">
        <f t="array" ref="L163">_xlfn.IFS(I163&gt;5%,"High risk",AND(I163&gt;=2%,I163&lt;=5%),"Mod risk",I163&lt;2%,"Low risk")</f>
        <v>High risk</v>
      </c>
      <c r="M163" cm="1">
        <f t="array" ref="M163">_xlfn.IFS(L163="Low risk",1,L163="Mod risk",2,L163="high risk",3)</f>
        <v>3</v>
      </c>
    </row>
    <row r="164" spans="1:13" ht="18" customHeight="1" x14ac:dyDescent="0.3">
      <c r="A164" s="6" t="s">
        <v>166</v>
      </c>
      <c r="B164" s="12">
        <v>34477</v>
      </c>
      <c r="C164" s="12">
        <v>1978</v>
      </c>
      <c r="D164" s="12">
        <v>30900</v>
      </c>
      <c r="E164" s="12">
        <v>1599</v>
      </c>
      <c r="F164" s="12">
        <v>8660952</v>
      </c>
      <c r="G164" s="6" t="s">
        <v>196</v>
      </c>
      <c r="H164" s="13">
        <v>43886</v>
      </c>
      <c r="I164" s="23">
        <f t="shared" si="6"/>
        <v>5.7371581054036024E-2</v>
      </c>
      <c r="J164" s="24">
        <f t="shared" si="7"/>
        <v>0.89624967369550712</v>
      </c>
      <c r="K164" s="25">
        <f t="shared" si="8"/>
        <v>3.9807402234765879E-3</v>
      </c>
      <c r="L164" t="str" cm="1">
        <f t="array" ref="L164">_xlfn.IFS(I164&gt;5%,"High risk",AND(I164&gt;=2%,I164&lt;=5%),"Mod risk",I164&lt;2%,"Low risk")</f>
        <v>High risk</v>
      </c>
      <c r="M164" cm="1">
        <f t="array" ref="M164">_xlfn.IFS(L164="Low risk",1,L164="Mod risk",2,L164="high risk",3)</f>
        <v>3</v>
      </c>
    </row>
    <row r="165" spans="1:13" ht="18" customHeight="1" x14ac:dyDescent="0.3">
      <c r="A165" s="7" t="s">
        <v>167</v>
      </c>
      <c r="B165" s="14">
        <v>674</v>
      </c>
      <c r="C165" s="14">
        <v>40</v>
      </c>
      <c r="D165" s="14">
        <v>0</v>
      </c>
      <c r="E165" s="14">
        <v>634</v>
      </c>
      <c r="F165" s="14">
        <v>17539600</v>
      </c>
      <c r="G165" s="7" t="s">
        <v>195</v>
      </c>
      <c r="H165" s="15">
        <v>43912</v>
      </c>
      <c r="I165" s="23">
        <f t="shared" si="6"/>
        <v>5.9347181008902079E-2</v>
      </c>
      <c r="J165" s="24">
        <f t="shared" si="7"/>
        <v>0</v>
      </c>
      <c r="K165" s="25">
        <f t="shared" si="8"/>
        <v>3.8427330155761816E-5</v>
      </c>
      <c r="L165" t="str" cm="1">
        <f t="array" ref="L165">_xlfn.IFS(I165&gt;5%,"High risk",AND(I165&gt;=2%,I165&lt;=5%),"Mod risk",I165&lt;2%,"Low risk")</f>
        <v>High risk</v>
      </c>
      <c r="M165" cm="1">
        <f t="array" ref="M165">_xlfn.IFS(L165="Low risk",1,L165="Mod risk",2,L165="high risk",3)</f>
        <v>3</v>
      </c>
    </row>
    <row r="166" spans="1:13" ht="18" customHeight="1" x14ac:dyDescent="0.3">
      <c r="A166" s="6" t="s">
        <v>190</v>
      </c>
      <c r="B166" s="12">
        <v>462</v>
      </c>
      <c r="C166" s="12">
        <v>7</v>
      </c>
      <c r="D166" s="12">
        <v>440</v>
      </c>
      <c r="E166" s="12">
        <v>15</v>
      </c>
      <c r="F166" s="12">
        <v>23821199</v>
      </c>
      <c r="G166" s="6" t="s">
        <v>195</v>
      </c>
      <c r="H166" s="13">
        <v>43851</v>
      </c>
      <c r="I166" s="23">
        <f t="shared" si="6"/>
        <v>1.5151515151515152E-2</v>
      </c>
      <c r="J166" s="24">
        <f t="shared" si="7"/>
        <v>0.95238095238095233</v>
      </c>
      <c r="K166" s="25">
        <f t="shared" si="8"/>
        <v>1.9394489756791838E-5</v>
      </c>
      <c r="L166" t="str" cm="1">
        <f t="array" ref="L166">_xlfn.IFS(I166&gt;5%,"High risk",AND(I166&gt;=2%,I166&lt;=5%),"Mod risk",I166&lt;2%,"Low risk")</f>
        <v>Low risk</v>
      </c>
      <c r="M166" cm="1">
        <f t="array" ref="M166">_xlfn.IFS(L166="Low risk",1,L166="Mod risk",2,L166="high risk",3)</f>
        <v>1</v>
      </c>
    </row>
    <row r="167" spans="1:13" ht="18" customHeight="1" x14ac:dyDescent="0.3">
      <c r="A167" s="7" t="s">
        <v>168</v>
      </c>
      <c r="B167" s="14">
        <v>7235</v>
      </c>
      <c r="C167" s="14">
        <v>60</v>
      </c>
      <c r="D167" s="14">
        <v>6028</v>
      </c>
      <c r="E167" s="14">
        <v>1147</v>
      </c>
      <c r="F167" s="14">
        <v>9557468</v>
      </c>
      <c r="G167" s="7" t="s">
        <v>195</v>
      </c>
      <c r="H167" s="15">
        <v>43951</v>
      </c>
      <c r="I167" s="23">
        <f t="shared" si="6"/>
        <v>8.2930200414651004E-3</v>
      </c>
      <c r="J167" s="24">
        <f t="shared" si="7"/>
        <v>0.83317208016586042</v>
      </c>
      <c r="K167" s="25">
        <f t="shared" si="8"/>
        <v>7.569996572313922E-4</v>
      </c>
      <c r="L167" t="str" cm="1">
        <f t="array" ref="L167">_xlfn.IFS(I167&gt;5%,"High risk",AND(I167&gt;=2%,I167&lt;=5%),"Mod risk",I167&lt;2%,"Low risk")</f>
        <v>Low risk</v>
      </c>
      <c r="M167" cm="1">
        <f t="array" ref="M167">_xlfn.IFS(L167="Low risk",1,L167="Mod risk",2,L167="high risk",3)</f>
        <v>1</v>
      </c>
    </row>
    <row r="168" spans="1:13" ht="18" customHeight="1" x14ac:dyDescent="0.3">
      <c r="A168" s="6" t="s">
        <v>169</v>
      </c>
      <c r="B168" s="12">
        <v>509</v>
      </c>
      <c r="C168" s="12">
        <v>21</v>
      </c>
      <c r="D168" s="12">
        <v>183</v>
      </c>
      <c r="E168" s="12">
        <v>305</v>
      </c>
      <c r="F168" s="12">
        <v>59886383</v>
      </c>
      <c r="G168" s="6" t="s">
        <v>197</v>
      </c>
      <c r="H168" s="13">
        <v>43906</v>
      </c>
      <c r="I168" s="23">
        <f t="shared" si="6"/>
        <v>4.1257367387033402E-2</v>
      </c>
      <c r="J168" s="24">
        <f t="shared" si="7"/>
        <v>0.35952848722986247</v>
      </c>
      <c r="K168" s="25">
        <f t="shared" si="8"/>
        <v>8.4994279918358071E-6</v>
      </c>
      <c r="L168" t="str" cm="1">
        <f t="array" ref="L168">_xlfn.IFS(I168&gt;5%,"High risk",AND(I168&gt;=2%,I168&lt;=5%),"Mod risk",I168&lt;2%,"Low risk")</f>
        <v>Mod risk</v>
      </c>
      <c r="M168" cm="1">
        <f t="array" ref="M168">_xlfn.IFS(L168="Low risk",1,L168="Mod risk",2,L168="high risk",3)</f>
        <v>2</v>
      </c>
    </row>
    <row r="169" spans="1:13" ht="18" customHeight="1" x14ac:dyDescent="0.3">
      <c r="A169" s="7" t="s">
        <v>170</v>
      </c>
      <c r="B169" s="14">
        <v>3297</v>
      </c>
      <c r="C169" s="14">
        <v>58</v>
      </c>
      <c r="D169" s="14">
        <v>3111</v>
      </c>
      <c r="E169" s="14">
        <v>128</v>
      </c>
      <c r="F169" s="14">
        <v>69817894</v>
      </c>
      <c r="G169" s="7" t="s">
        <v>195</v>
      </c>
      <c r="H169" s="15">
        <v>43843</v>
      </c>
      <c r="I169" s="23">
        <f t="shared" si="6"/>
        <v>1.7591750075826508E-2</v>
      </c>
      <c r="J169" s="24">
        <f t="shared" si="7"/>
        <v>0.94358507734303909</v>
      </c>
      <c r="K169" s="25">
        <f t="shared" si="8"/>
        <v>4.7222850921283877E-5</v>
      </c>
      <c r="L169" t="str" cm="1">
        <f t="array" ref="L169">_xlfn.IFS(I169&gt;5%,"High risk",AND(I169&gt;=2%,I169&lt;=5%),"Mod risk",I169&lt;2%,"Low risk")</f>
        <v>Low risk</v>
      </c>
      <c r="M169" cm="1">
        <f t="array" ref="M169">_xlfn.IFS(L169="Low risk",1,L169="Mod risk",2,L169="high risk",3)</f>
        <v>1</v>
      </c>
    </row>
    <row r="170" spans="1:13" ht="18" customHeight="1" x14ac:dyDescent="0.3">
      <c r="A170" s="6" t="s">
        <v>171</v>
      </c>
      <c r="B170" s="12">
        <v>24</v>
      </c>
      <c r="C170" s="12">
        <v>0</v>
      </c>
      <c r="D170" s="12">
        <v>0</v>
      </c>
      <c r="E170" s="12">
        <v>24</v>
      </c>
      <c r="F170" s="12">
        <v>1320812</v>
      </c>
      <c r="G170" s="6" t="s">
        <v>195</v>
      </c>
      <c r="H170" s="13">
        <v>43911</v>
      </c>
      <c r="I170" s="23">
        <f t="shared" si="6"/>
        <v>0</v>
      </c>
      <c r="J170" s="24">
        <f t="shared" si="7"/>
        <v>0</v>
      </c>
      <c r="K170" s="25">
        <f t="shared" si="8"/>
        <v>1.8170640484792688E-5</v>
      </c>
      <c r="L170" t="str" cm="1">
        <f t="array" ref="L170">_xlfn.IFS(I170&gt;5%,"High risk",AND(I170&gt;=2%,I170&lt;=5%),"Mod risk",I170&lt;2%,"Low risk")</f>
        <v>Low risk</v>
      </c>
      <c r="M170" cm="1">
        <f t="array" ref="M170">_xlfn.IFS(L170="Low risk",1,L170="Mod risk",2,L170="high risk",3)</f>
        <v>1</v>
      </c>
    </row>
    <row r="171" spans="1:13" ht="18" customHeight="1" x14ac:dyDescent="0.3">
      <c r="A171" s="7" t="s">
        <v>172</v>
      </c>
      <c r="B171" s="14">
        <v>874</v>
      </c>
      <c r="C171" s="14">
        <v>18</v>
      </c>
      <c r="D171" s="14">
        <v>607</v>
      </c>
      <c r="E171" s="14">
        <v>249</v>
      </c>
      <c r="F171" s="14">
        <v>8296582</v>
      </c>
      <c r="G171" s="7" t="s">
        <v>197</v>
      </c>
      <c r="H171" s="15">
        <v>43896</v>
      </c>
      <c r="I171" s="23">
        <f t="shared" si="6"/>
        <v>2.0594965675057208E-2</v>
      </c>
      <c r="J171" s="24">
        <f t="shared" si="7"/>
        <v>0.69450800915331812</v>
      </c>
      <c r="K171" s="25">
        <f t="shared" si="8"/>
        <v>1.0534458648151732E-4</v>
      </c>
      <c r="L171" t="str" cm="1">
        <f t="array" ref="L171">_xlfn.IFS(I171&gt;5%,"High risk",AND(I171&gt;=2%,I171&lt;=5%),"Mod risk",I171&lt;2%,"Low risk")</f>
        <v>Mod risk</v>
      </c>
      <c r="M171" cm="1">
        <f t="array" ref="M171">_xlfn.IFS(L171="Low risk",1,L171="Mod risk",2,L171="high risk",3)</f>
        <v>2</v>
      </c>
    </row>
    <row r="172" spans="1:13" ht="18" customHeight="1" x14ac:dyDescent="0.3">
      <c r="A172" s="6" t="s">
        <v>173</v>
      </c>
      <c r="B172" s="12">
        <v>148</v>
      </c>
      <c r="C172" s="12">
        <v>8</v>
      </c>
      <c r="D172" s="12">
        <v>128</v>
      </c>
      <c r="E172" s="12">
        <v>12</v>
      </c>
      <c r="F172" s="12">
        <v>1399950</v>
      </c>
      <c r="G172" s="6" t="s">
        <v>198</v>
      </c>
      <c r="H172" s="13">
        <v>43902</v>
      </c>
      <c r="I172" s="23">
        <f t="shared" si="6"/>
        <v>5.4054054054054057E-2</v>
      </c>
      <c r="J172" s="24">
        <f t="shared" si="7"/>
        <v>0.86486486486486491</v>
      </c>
      <c r="K172" s="25">
        <f t="shared" si="8"/>
        <v>1.0571806135933426E-4</v>
      </c>
      <c r="L172" t="str" cm="1">
        <f t="array" ref="L172">_xlfn.IFS(I172&gt;5%,"High risk",AND(I172&gt;=2%,I172&lt;=5%),"Mod risk",I172&lt;2%,"Low risk")</f>
        <v>High risk</v>
      </c>
      <c r="M172" cm="1">
        <f t="array" ref="M172">_xlfn.IFS(L172="Low risk",1,L172="Mod risk",2,L172="high risk",3)</f>
        <v>3</v>
      </c>
    </row>
    <row r="173" spans="1:13" ht="18" customHeight="1" x14ac:dyDescent="0.3">
      <c r="A173" s="7" t="s">
        <v>174</v>
      </c>
      <c r="B173" s="14">
        <v>1455</v>
      </c>
      <c r="C173" s="14">
        <v>50</v>
      </c>
      <c r="D173" s="14">
        <v>1157</v>
      </c>
      <c r="E173" s="14">
        <v>248</v>
      </c>
      <c r="F173" s="14">
        <v>11830801</v>
      </c>
      <c r="G173" s="7" t="s">
        <v>197</v>
      </c>
      <c r="H173" s="15">
        <v>43892</v>
      </c>
      <c r="I173" s="23">
        <f t="shared" si="6"/>
        <v>3.4364261168384883E-2</v>
      </c>
      <c r="J173" s="24">
        <f t="shared" si="7"/>
        <v>0.79518900343642607</v>
      </c>
      <c r="K173" s="25">
        <f t="shared" si="8"/>
        <v>1.2298406506879795E-4</v>
      </c>
      <c r="L173" t="str" cm="1">
        <f t="array" ref="L173">_xlfn.IFS(I173&gt;5%,"High risk",AND(I173&gt;=2%,I173&lt;=5%),"Mod risk",I173&lt;2%,"Low risk")</f>
        <v>Mod risk</v>
      </c>
      <c r="M173" cm="1">
        <f t="array" ref="M173">_xlfn.IFS(L173="Low risk",1,L173="Mod risk",2,L173="high risk",3)</f>
        <v>2</v>
      </c>
    </row>
    <row r="174" spans="1:13" ht="18" customHeight="1" x14ac:dyDescent="0.3">
      <c r="A174" s="6" t="s">
        <v>175</v>
      </c>
      <c r="B174" s="12">
        <v>227019</v>
      </c>
      <c r="C174" s="12">
        <v>5630</v>
      </c>
      <c r="D174" s="12">
        <v>210469</v>
      </c>
      <c r="E174" s="12">
        <v>10920</v>
      </c>
      <c r="F174" s="12">
        <v>84428331</v>
      </c>
      <c r="G174" s="6" t="s">
        <v>195</v>
      </c>
      <c r="H174" s="13">
        <v>43901</v>
      </c>
      <c r="I174" s="23">
        <f t="shared" si="6"/>
        <v>2.4799686369863315E-2</v>
      </c>
      <c r="J174" s="24">
        <f t="shared" si="7"/>
        <v>0.92709861289143203</v>
      </c>
      <c r="K174" s="25">
        <f t="shared" si="8"/>
        <v>2.6888959820844972E-3</v>
      </c>
      <c r="L174" t="str" cm="1">
        <f t="array" ref="L174">_xlfn.IFS(I174&gt;5%,"High risk",AND(I174&gt;=2%,I174&lt;=5%),"Mod risk",I174&lt;2%,"Low risk")</f>
        <v>Mod risk</v>
      </c>
      <c r="M174" cm="1">
        <f t="array" ref="M174">_xlfn.IFS(L174="Low risk",1,L174="Mod risk",2,L174="high risk",3)</f>
        <v>2</v>
      </c>
    </row>
    <row r="175" spans="1:13" ht="18" customHeight="1" x14ac:dyDescent="0.3">
      <c r="A175" s="7" t="s">
        <v>176</v>
      </c>
      <c r="B175" s="14">
        <v>4290259</v>
      </c>
      <c r="C175" s="14">
        <v>148011</v>
      </c>
      <c r="D175" s="14">
        <v>1325804</v>
      </c>
      <c r="E175" s="14">
        <v>2816444</v>
      </c>
      <c r="F175" s="14">
        <v>331198130</v>
      </c>
      <c r="G175" s="7" t="s">
        <v>198</v>
      </c>
      <c r="H175" s="15">
        <v>43851</v>
      </c>
      <c r="I175" s="23">
        <f t="shared" si="6"/>
        <v>3.4499315775574385E-2</v>
      </c>
      <c r="J175" s="24">
        <f t="shared" si="7"/>
        <v>0.30902656459668287</v>
      </c>
      <c r="K175" s="25">
        <f t="shared" si="8"/>
        <v>1.2953753694201112E-2</v>
      </c>
      <c r="L175" t="str" cm="1">
        <f t="array" ref="L175">_xlfn.IFS(I175&gt;5%,"High risk",AND(I175&gt;=2%,I175&lt;=5%),"Mod risk",I175&lt;2%,"Low risk")</f>
        <v>Mod risk</v>
      </c>
      <c r="M175" cm="1">
        <f t="array" ref="M175">_xlfn.IFS(L175="Low risk",1,L175="Mod risk",2,L175="high risk",3)</f>
        <v>2</v>
      </c>
    </row>
    <row r="176" spans="1:13" ht="18" customHeight="1" x14ac:dyDescent="0.3">
      <c r="A176" s="6" t="s">
        <v>177</v>
      </c>
      <c r="B176" s="12">
        <v>1128</v>
      </c>
      <c r="C176" s="12">
        <v>2</v>
      </c>
      <c r="D176" s="12">
        <v>986</v>
      </c>
      <c r="E176" s="12">
        <v>140</v>
      </c>
      <c r="F176" s="12">
        <v>45867852</v>
      </c>
      <c r="G176" s="6" t="s">
        <v>197</v>
      </c>
      <c r="H176" s="13">
        <v>43912</v>
      </c>
      <c r="I176" s="23">
        <f t="shared" si="6"/>
        <v>1.7730496453900709E-3</v>
      </c>
      <c r="J176" s="24">
        <f t="shared" si="7"/>
        <v>0.87411347517730498</v>
      </c>
      <c r="K176" s="25">
        <f t="shared" si="8"/>
        <v>2.4592387714166339E-5</v>
      </c>
      <c r="L176" t="str" cm="1">
        <f t="array" ref="L176">_xlfn.IFS(I176&gt;5%,"High risk",AND(I176&gt;=2%,I176&lt;=5%),"Mod risk",I176&lt;2%,"Low risk")</f>
        <v>Low risk</v>
      </c>
      <c r="M176" cm="1">
        <f t="array" ref="M176">_xlfn.IFS(L176="Low risk",1,L176="Mod risk",2,L176="high risk",3)</f>
        <v>1</v>
      </c>
    </row>
    <row r="177" spans="1:13" ht="18" customHeight="1" x14ac:dyDescent="0.3">
      <c r="A177" s="7" t="s">
        <v>178</v>
      </c>
      <c r="B177" s="14">
        <v>67096</v>
      </c>
      <c r="C177" s="14">
        <v>1636</v>
      </c>
      <c r="D177" s="14">
        <v>37202</v>
      </c>
      <c r="E177" s="14">
        <v>28258</v>
      </c>
      <c r="F177" s="14">
        <v>43705858</v>
      </c>
      <c r="G177" s="7" t="s">
        <v>196</v>
      </c>
      <c r="H177" s="15">
        <v>43893</v>
      </c>
      <c r="I177" s="23">
        <f t="shared" si="6"/>
        <v>2.4382973649695959E-2</v>
      </c>
      <c r="J177" s="24">
        <f t="shared" si="7"/>
        <v>0.55445928222248719</v>
      </c>
      <c r="K177" s="25">
        <f t="shared" si="8"/>
        <v>1.5351717840661086E-3</v>
      </c>
      <c r="L177" t="str" cm="1">
        <f t="array" ref="L177">_xlfn.IFS(I177&gt;5%,"High risk",AND(I177&gt;=2%,I177&lt;=5%),"Mod risk",I177&lt;2%,"Low risk")</f>
        <v>Mod risk</v>
      </c>
      <c r="M177" cm="1">
        <f t="array" ref="M177">_xlfn.IFS(L177="Low risk",1,L177="Mod risk",2,L177="high risk",3)</f>
        <v>2</v>
      </c>
    </row>
    <row r="178" spans="1:13" ht="18" customHeight="1" x14ac:dyDescent="0.3">
      <c r="A178" s="6" t="s">
        <v>179</v>
      </c>
      <c r="B178" s="12">
        <v>59177</v>
      </c>
      <c r="C178" s="12">
        <v>345</v>
      </c>
      <c r="D178" s="12">
        <v>52510</v>
      </c>
      <c r="E178" s="12">
        <v>6322</v>
      </c>
      <c r="F178" s="12">
        <v>9902079</v>
      </c>
      <c r="G178" s="6" t="s">
        <v>195</v>
      </c>
      <c r="H178" s="13">
        <v>43859</v>
      </c>
      <c r="I178" s="23">
        <f t="shared" si="6"/>
        <v>5.8299677239468037E-3</v>
      </c>
      <c r="J178" s="24">
        <f t="shared" si="7"/>
        <v>0.88733798604187442</v>
      </c>
      <c r="K178" s="25">
        <f t="shared" si="8"/>
        <v>5.9762197413290681E-3</v>
      </c>
      <c r="L178" t="str" cm="1">
        <f t="array" ref="L178">_xlfn.IFS(I178&gt;5%,"High risk",AND(I178&gt;=2%,I178&lt;=5%),"Mod risk",I178&lt;2%,"Low risk")</f>
        <v>Low risk</v>
      </c>
      <c r="M178" cm="1">
        <f t="array" ref="M178">_xlfn.IFS(L178="Low risk",1,L178="Mod risk",2,L178="high risk",3)</f>
        <v>1</v>
      </c>
    </row>
    <row r="179" spans="1:13" ht="18" customHeight="1" x14ac:dyDescent="0.3">
      <c r="A179" s="7" t="s">
        <v>180</v>
      </c>
      <c r="B179" s="14">
        <v>301708</v>
      </c>
      <c r="C179" s="14">
        <v>45844</v>
      </c>
      <c r="D179" s="14">
        <v>1437</v>
      </c>
      <c r="E179" s="14">
        <v>254427</v>
      </c>
      <c r="F179" s="14">
        <v>67922029</v>
      </c>
      <c r="G179" s="7" t="s">
        <v>196</v>
      </c>
      <c r="H179" s="15">
        <v>43861</v>
      </c>
      <c r="I179" s="23">
        <f t="shared" si="6"/>
        <v>0.15194824134593712</v>
      </c>
      <c r="J179" s="24">
        <f t="shared" si="7"/>
        <v>4.7628833176448756E-3</v>
      </c>
      <c r="K179" s="25">
        <f t="shared" si="8"/>
        <v>4.4419756659507328E-3</v>
      </c>
      <c r="L179" t="str" cm="1">
        <f t="array" ref="L179">_xlfn.IFS(I179&gt;5%,"High risk",AND(I179&gt;=2%,I179&lt;=5%),"Mod risk",I179&lt;2%,"Low risk")</f>
        <v>High risk</v>
      </c>
      <c r="M179" cm="1">
        <f t="array" ref="M179">_xlfn.IFS(L179="Low risk",1,L179="Mod risk",2,L179="high risk",3)</f>
        <v>3</v>
      </c>
    </row>
    <row r="180" spans="1:13" ht="18" customHeight="1" x14ac:dyDescent="0.3">
      <c r="A180" s="6" t="s">
        <v>181</v>
      </c>
      <c r="B180" s="12">
        <v>1202</v>
      </c>
      <c r="C180" s="12">
        <v>35</v>
      </c>
      <c r="D180" s="12">
        <v>951</v>
      </c>
      <c r="E180" s="12">
        <v>216</v>
      </c>
      <c r="F180" s="12">
        <v>3474956</v>
      </c>
      <c r="G180" s="6" t="s">
        <v>199</v>
      </c>
      <c r="H180" s="13">
        <v>43903</v>
      </c>
      <c r="I180" s="23">
        <f t="shared" si="6"/>
        <v>2.9118136439267885E-2</v>
      </c>
      <c r="J180" s="24">
        <f t="shared" si="7"/>
        <v>0.79118136439267883</v>
      </c>
      <c r="K180" s="25">
        <f t="shared" si="8"/>
        <v>3.4590366036289381E-4</v>
      </c>
      <c r="L180" t="str" cm="1">
        <f t="array" ref="L180">_xlfn.IFS(I180&gt;5%,"High risk",AND(I180&gt;=2%,I180&lt;=5%),"Mod risk",I180&lt;2%,"Low risk")</f>
        <v>Mod risk</v>
      </c>
      <c r="M180" cm="1">
        <f t="array" ref="M180">_xlfn.IFS(L180="Low risk",1,L180="Mod risk",2,L180="high risk",3)</f>
        <v>2</v>
      </c>
    </row>
    <row r="181" spans="1:13" ht="18" customHeight="1" x14ac:dyDescent="0.3">
      <c r="A181" s="7" t="s">
        <v>182</v>
      </c>
      <c r="B181" s="14">
        <v>21209</v>
      </c>
      <c r="C181" s="14">
        <v>121</v>
      </c>
      <c r="D181" s="14">
        <v>11674</v>
      </c>
      <c r="E181" s="14">
        <v>9414</v>
      </c>
      <c r="F181" s="14">
        <v>33516027</v>
      </c>
      <c r="G181" s="7" t="s">
        <v>195</v>
      </c>
      <c r="H181" s="15">
        <v>43905</v>
      </c>
      <c r="I181" s="23">
        <f t="shared" si="6"/>
        <v>5.7051251827054551E-3</v>
      </c>
      <c r="J181" s="24">
        <f t="shared" si="7"/>
        <v>0.55042670564383045</v>
      </c>
      <c r="K181" s="25">
        <f t="shared" si="8"/>
        <v>6.3280173392866643E-4</v>
      </c>
      <c r="L181" t="str" cm="1">
        <f t="array" ref="L181">_xlfn.IFS(I181&gt;5%,"High risk",AND(I181&gt;=2%,I181&lt;=5%),"Mod risk",I181&lt;2%,"Low risk")</f>
        <v>Low risk</v>
      </c>
      <c r="M181" cm="1">
        <f t="array" ref="M181">_xlfn.IFS(L181="Low risk",1,L181="Mod risk",2,L181="high risk",3)</f>
        <v>1</v>
      </c>
    </row>
    <row r="182" spans="1:13" ht="18" customHeight="1" x14ac:dyDescent="0.3">
      <c r="A182" s="6" t="s">
        <v>183</v>
      </c>
      <c r="B182" s="12">
        <v>15988</v>
      </c>
      <c r="C182" s="12">
        <v>146</v>
      </c>
      <c r="D182" s="12">
        <v>9959</v>
      </c>
      <c r="E182" s="12">
        <v>5883</v>
      </c>
      <c r="F182" s="12">
        <v>28427499</v>
      </c>
      <c r="G182" s="6" t="s">
        <v>199</v>
      </c>
      <c r="H182" s="13">
        <v>43903</v>
      </c>
      <c r="I182" s="23">
        <f t="shared" si="6"/>
        <v>9.1318488866649981E-3</v>
      </c>
      <c r="J182" s="24">
        <f t="shared" si="7"/>
        <v>0.62290467850888165</v>
      </c>
      <c r="K182" s="25">
        <f t="shared" si="8"/>
        <v>5.624131760588577E-4</v>
      </c>
      <c r="L182" t="str" cm="1">
        <f t="array" ref="L182">_xlfn.IFS(I182&gt;5%,"High risk",AND(I182&gt;=2%,I182&lt;=5%),"Mod risk",I182&lt;2%,"Low risk")</f>
        <v>Low risk</v>
      </c>
      <c r="M182" cm="1">
        <f t="array" ref="M182">_xlfn.IFS(L182="Low risk",1,L182="Mod risk",2,L182="high risk",3)</f>
        <v>1</v>
      </c>
    </row>
    <row r="183" spans="1:13" ht="18" customHeight="1" x14ac:dyDescent="0.3">
      <c r="A183" s="7" t="s">
        <v>184</v>
      </c>
      <c r="B183" s="14">
        <v>431</v>
      </c>
      <c r="C183" s="14">
        <v>0</v>
      </c>
      <c r="D183" s="14">
        <v>365</v>
      </c>
      <c r="E183" s="14">
        <v>66</v>
      </c>
      <c r="F183" s="14">
        <v>97425470</v>
      </c>
      <c r="G183" s="7" t="s">
        <v>195</v>
      </c>
      <c r="H183" s="15">
        <v>43853</v>
      </c>
      <c r="I183" s="23">
        <f t="shared" si="6"/>
        <v>0</v>
      </c>
      <c r="J183" s="24">
        <f t="shared" si="7"/>
        <v>0.84686774941995357</v>
      </c>
      <c r="K183" s="25">
        <f t="shared" si="8"/>
        <v>4.4238944908348918E-6</v>
      </c>
      <c r="L183" t="str" cm="1">
        <f t="array" ref="L183">_xlfn.IFS(I183&gt;5%,"High risk",AND(I183&gt;=2%,I183&lt;=5%),"Mod risk",I183&lt;2%,"Low risk")</f>
        <v>Low risk</v>
      </c>
      <c r="M183" cm="1">
        <f t="array" ref="M183">_xlfn.IFS(L183="Low risk",1,L183="Mod risk",2,L183="high risk",3)</f>
        <v>1</v>
      </c>
    </row>
    <row r="184" spans="1:13" ht="18" customHeight="1" x14ac:dyDescent="0.3">
      <c r="A184" s="6" t="s">
        <v>185</v>
      </c>
      <c r="B184" s="12">
        <v>10621</v>
      </c>
      <c r="C184" s="12">
        <v>78</v>
      </c>
      <c r="D184" s="12">
        <v>3752</v>
      </c>
      <c r="E184" s="12">
        <v>6791</v>
      </c>
      <c r="F184" s="16">
        <v>4800000</v>
      </c>
      <c r="G184" s="6" t="s">
        <v>195</v>
      </c>
      <c r="H184" s="13">
        <v>43895</v>
      </c>
      <c r="I184" s="23">
        <f t="shared" si="6"/>
        <v>7.3439412484700125E-3</v>
      </c>
      <c r="J184" s="24">
        <f t="shared" si="7"/>
        <v>0.35326240466999342</v>
      </c>
      <c r="K184" s="25">
        <f t="shared" si="8"/>
        <v>2.2127083333333335E-3</v>
      </c>
      <c r="L184" t="str" cm="1">
        <f t="array" ref="L184">_xlfn.IFS(I184&gt;5%,"High risk",AND(I184&gt;=2%,I184&lt;=5%),"Mod risk",I184&lt;2%,"Low risk")</f>
        <v>Low risk</v>
      </c>
      <c r="M184" cm="1">
        <f t="array" ref="M184">_xlfn.IFS(L184="Low risk",1,L184="Mod risk",2,L184="high risk",3)</f>
        <v>1</v>
      </c>
    </row>
    <row r="185" spans="1:13" ht="18" customHeight="1" x14ac:dyDescent="0.3">
      <c r="A185" s="7" t="s">
        <v>186</v>
      </c>
      <c r="B185" s="14">
        <v>10</v>
      </c>
      <c r="C185" s="14">
        <v>1</v>
      </c>
      <c r="D185" s="14">
        <v>8</v>
      </c>
      <c r="E185" s="14">
        <v>1</v>
      </c>
      <c r="F185" s="14">
        <v>598682</v>
      </c>
      <c r="G185" s="7" t="s">
        <v>197</v>
      </c>
      <c r="H185" s="15">
        <v>43925</v>
      </c>
      <c r="I185" s="23">
        <f t="shared" si="6"/>
        <v>0.1</v>
      </c>
      <c r="J185" s="24">
        <f t="shared" si="7"/>
        <v>0.8</v>
      </c>
      <c r="K185" s="25">
        <f t="shared" si="8"/>
        <v>1.6703358377235327E-5</v>
      </c>
      <c r="L185" t="str" cm="1">
        <f t="array" ref="L185">_xlfn.IFS(I185&gt;5%,"High risk",AND(I185&gt;=2%,I185&lt;=5%),"Mod risk",I185&lt;2%,"Low risk")</f>
        <v>High risk</v>
      </c>
      <c r="M185" cm="1">
        <f t="array" ref="M185">_xlfn.IFS(L185="Low risk",1,L185="Mod risk",2,L185="high risk",3)</f>
        <v>3</v>
      </c>
    </row>
    <row r="186" spans="1:13" ht="18" customHeight="1" x14ac:dyDescent="0.3">
      <c r="A186" s="6" t="s">
        <v>187</v>
      </c>
      <c r="B186" s="12">
        <v>1691</v>
      </c>
      <c r="C186" s="12">
        <v>483</v>
      </c>
      <c r="D186" s="12">
        <v>833</v>
      </c>
      <c r="E186" s="12">
        <v>375</v>
      </c>
      <c r="F186" s="12">
        <v>29886897</v>
      </c>
      <c r="G186" s="6" t="s">
        <v>195</v>
      </c>
      <c r="H186" s="13">
        <v>43931</v>
      </c>
      <c r="I186" s="23">
        <f t="shared" si="6"/>
        <v>0.28562980484920164</v>
      </c>
      <c r="J186" s="24">
        <f t="shared" si="7"/>
        <v>0.49260792430514488</v>
      </c>
      <c r="K186" s="25">
        <f t="shared" si="8"/>
        <v>5.6579978844909859E-5</v>
      </c>
      <c r="L186" t="str" cm="1">
        <f t="array" ref="L186">_xlfn.IFS(I186&gt;5%,"High risk",AND(I186&gt;=2%,I186&lt;=5%),"Mod risk",I186&lt;2%,"Low risk")</f>
        <v>High risk</v>
      </c>
      <c r="M186" cm="1">
        <f t="array" ref="M186">_xlfn.IFS(L186="Low risk",1,L186="Mod risk",2,L186="high risk",3)</f>
        <v>3</v>
      </c>
    </row>
    <row r="187" spans="1:13" ht="18" customHeight="1" x14ac:dyDescent="0.3">
      <c r="A187" s="7" t="s">
        <v>188</v>
      </c>
      <c r="B187" s="14">
        <v>4552</v>
      </c>
      <c r="C187" s="14">
        <v>140</v>
      </c>
      <c r="D187" s="14">
        <v>2815</v>
      </c>
      <c r="E187" s="14">
        <v>1597</v>
      </c>
      <c r="F187" s="14">
        <v>18430129</v>
      </c>
      <c r="G187" s="7" t="s">
        <v>197</v>
      </c>
      <c r="H187" s="15">
        <v>43908</v>
      </c>
      <c r="I187" s="23">
        <f t="shared" si="6"/>
        <v>3.0755711775043937E-2</v>
      </c>
      <c r="J187" s="24">
        <f t="shared" si="7"/>
        <v>0.61840949033391912</v>
      </c>
      <c r="K187" s="25">
        <f t="shared" si="8"/>
        <v>2.4698687676033088E-4</v>
      </c>
      <c r="L187" t="str" cm="1">
        <f t="array" ref="L187">_xlfn.IFS(I187&gt;5%,"High risk",AND(I187&gt;=2%,I187&lt;=5%),"Mod risk",I187&lt;2%,"Low risk")</f>
        <v>Mod risk</v>
      </c>
      <c r="M187" cm="1">
        <f t="array" ref="M187">_xlfn.IFS(L187="Low risk",1,L187="Mod risk",2,L187="high risk",3)</f>
        <v>2</v>
      </c>
    </row>
    <row r="188" spans="1:13" ht="18" customHeight="1" x14ac:dyDescent="0.3">
      <c r="A188" s="8" t="s">
        <v>189</v>
      </c>
      <c r="B188" s="19">
        <v>2704</v>
      </c>
      <c r="C188" s="19">
        <v>36</v>
      </c>
      <c r="D188" s="19">
        <v>542</v>
      </c>
      <c r="E188" s="19">
        <v>2126</v>
      </c>
      <c r="F188" s="19">
        <v>14883803</v>
      </c>
      <c r="G188" s="8" t="s">
        <v>197</v>
      </c>
      <c r="H188" s="20">
        <v>43911</v>
      </c>
      <c r="I188" s="23">
        <f t="shared" si="6"/>
        <v>1.3313609467455622E-2</v>
      </c>
      <c r="J188" s="24">
        <f t="shared" si="7"/>
        <v>0.20044378698224852</v>
      </c>
      <c r="K188" s="25">
        <f t="shared" si="8"/>
        <v>1.8167399823821909E-4</v>
      </c>
      <c r="L188" t="str" cm="1">
        <f t="array" ref="L188">_xlfn.IFS(I188&gt;5%,"High risk",AND(I188&gt;=2%,I188&lt;=5%),"Mod risk",I188&lt;2%,"Low risk")</f>
        <v>Low risk</v>
      </c>
      <c r="M188" cm="1">
        <f t="array" ref="M188">_xlfn.IFS(L188="Low risk",1,L188="Mod risk",2,L188="high risk",3)</f>
        <v>1</v>
      </c>
    </row>
  </sheetData>
  <phoneticPr fontId="3" type="noConversion"/>
  <conditionalFormatting sqref="I1:I1048576">
    <cfRule type="cellIs" dxfId="0" priority="6" operator="greaterThan">
      <formula>0.05</formula>
    </cfRule>
  </conditionalFormatting>
  <conditionalFormatting sqref="J1:J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{2B46FD11-B940-4D1E-99E7-116BA9F5477B}</x14:id>
        </ext>
      </extLst>
    </cfRule>
  </conditionalFormatting>
  <conditionalFormatting sqref="L1:L1048576">
    <cfRule type="iconSet" priority="2">
      <iconSet iconSet="5ArrowsGray">
        <cfvo type="percent" val="0"/>
        <cfvo type="percent" val="20"/>
        <cfvo type="percent" val="40"/>
        <cfvo type="percent" val="60"/>
        <cfvo type="percent" val="80"/>
      </iconSet>
    </cfRule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M1:M1048576">
    <cfRule type="iconSet" priority="1">
      <iconSet iconSet="4Arrows" showValue="0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46FD11-B940-4D1E-99E7-116BA9F547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5C533-83BC-44C9-86EB-00BD43DF7E9A}">
  <dimension ref="A3:C14"/>
  <sheetViews>
    <sheetView workbookViewId="0">
      <selection activeCell="E25" sqref="E25"/>
    </sheetView>
  </sheetViews>
  <sheetFormatPr defaultRowHeight="14.4" x14ac:dyDescent="0.3"/>
  <cols>
    <col min="1" max="1" width="13.5546875" bestFit="1" customWidth="1"/>
    <col min="2" max="3" width="15.88671875" bestFit="1" customWidth="1"/>
    <col min="4" max="15" width="3" bestFit="1" customWidth="1"/>
    <col min="16" max="44" width="4" bestFit="1" customWidth="1"/>
    <col min="45" max="106" width="5" bestFit="1" customWidth="1"/>
    <col min="107" max="160" width="6" bestFit="1" customWidth="1"/>
    <col min="161" max="181" width="7" bestFit="1" customWidth="1"/>
    <col min="182" max="184" width="8" bestFit="1" customWidth="1"/>
    <col min="185" max="185" width="6" bestFit="1" customWidth="1"/>
    <col min="186" max="186" width="10.5546875" bestFit="1" customWidth="1"/>
  </cols>
  <sheetData>
    <row r="3" spans="1:3" x14ac:dyDescent="0.3">
      <c r="A3" s="30" t="s">
        <v>212</v>
      </c>
      <c r="B3" s="30" t="s">
        <v>222</v>
      </c>
      <c r="C3" s="30" t="s">
        <v>223</v>
      </c>
    </row>
    <row r="4" spans="1:3" x14ac:dyDescent="0.3">
      <c r="A4" s="31" t="s">
        <v>28</v>
      </c>
      <c r="B4" s="32">
        <v>2442375</v>
      </c>
      <c r="C4" s="32">
        <v>1846641</v>
      </c>
    </row>
    <row r="5" spans="1:3" x14ac:dyDescent="0.3">
      <c r="A5" s="31" t="s">
        <v>39</v>
      </c>
      <c r="B5" s="32">
        <v>347923</v>
      </c>
      <c r="C5" s="32">
        <v>319954</v>
      </c>
    </row>
    <row r="6" spans="1:3" x14ac:dyDescent="0.3">
      <c r="A6" s="31" t="s">
        <v>83</v>
      </c>
      <c r="B6" s="32">
        <v>1480073</v>
      </c>
      <c r="C6" s="32">
        <v>951166</v>
      </c>
    </row>
    <row r="7" spans="1:3" x14ac:dyDescent="0.3">
      <c r="A7" s="31" t="s">
        <v>85</v>
      </c>
      <c r="B7" s="32">
        <v>293606</v>
      </c>
      <c r="C7" s="32">
        <v>255144</v>
      </c>
    </row>
    <row r="8" spans="1:3" x14ac:dyDescent="0.3">
      <c r="A8" s="31" t="s">
        <v>115</v>
      </c>
      <c r="B8" s="32">
        <v>395489</v>
      </c>
      <c r="C8" s="32">
        <v>303810</v>
      </c>
    </row>
    <row r="9" spans="1:3" x14ac:dyDescent="0.3">
      <c r="A9" s="31" t="s">
        <v>136</v>
      </c>
      <c r="B9" s="32">
        <v>389717</v>
      </c>
      <c r="C9" s="32">
        <v>272547</v>
      </c>
    </row>
    <row r="10" spans="1:3" x14ac:dyDescent="0.3">
      <c r="A10" s="31" t="s">
        <v>142</v>
      </c>
      <c r="B10" s="32">
        <v>816680</v>
      </c>
      <c r="C10" s="32">
        <v>602249</v>
      </c>
    </row>
    <row r="11" spans="1:3" x14ac:dyDescent="0.3">
      <c r="A11" s="31" t="s">
        <v>158</v>
      </c>
      <c r="B11" s="32">
        <v>452529</v>
      </c>
      <c r="C11" s="32">
        <v>274925</v>
      </c>
    </row>
    <row r="12" spans="1:3" x14ac:dyDescent="0.3">
      <c r="A12" s="31" t="s">
        <v>180</v>
      </c>
      <c r="B12" s="32">
        <v>301708</v>
      </c>
      <c r="C12" s="32">
        <v>1437</v>
      </c>
    </row>
    <row r="13" spans="1:3" x14ac:dyDescent="0.3">
      <c r="A13" s="31" t="s">
        <v>176</v>
      </c>
      <c r="B13" s="32">
        <v>4290259</v>
      </c>
      <c r="C13" s="32">
        <v>1325804</v>
      </c>
    </row>
    <row r="14" spans="1:3" x14ac:dyDescent="0.3">
      <c r="A14" s="31" t="s">
        <v>213</v>
      </c>
      <c r="B14" s="32">
        <v>11210359</v>
      </c>
      <c r="C14" s="32">
        <v>6153677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EAEB-1DAA-4796-B97A-EC083CA8EC85}">
  <dimension ref="A3:B10"/>
  <sheetViews>
    <sheetView workbookViewId="0">
      <selection activeCell="P21" sqref="P21"/>
    </sheetView>
  </sheetViews>
  <sheetFormatPr defaultRowHeight="14.4" x14ac:dyDescent="0.3"/>
  <cols>
    <col min="1" max="1" width="15.6640625" bestFit="1" customWidth="1"/>
    <col min="2" max="2" width="17" bestFit="1" customWidth="1"/>
  </cols>
  <sheetData>
    <row r="3" spans="1:2" x14ac:dyDescent="0.3">
      <c r="A3" s="30" t="s">
        <v>212</v>
      </c>
      <c r="B3" s="30" t="s">
        <v>221</v>
      </c>
    </row>
    <row r="4" spans="1:2" x14ac:dyDescent="0.3">
      <c r="A4" s="31" t="s">
        <v>197</v>
      </c>
      <c r="B4" s="32">
        <v>56</v>
      </c>
    </row>
    <row r="5" spans="1:2" x14ac:dyDescent="0.3">
      <c r="A5" s="31" t="s">
        <v>195</v>
      </c>
      <c r="B5" s="32">
        <v>47</v>
      </c>
    </row>
    <row r="6" spans="1:2" x14ac:dyDescent="0.3">
      <c r="A6" s="31" t="s">
        <v>200</v>
      </c>
      <c r="B6" s="32">
        <v>4</v>
      </c>
    </row>
    <row r="7" spans="1:2" x14ac:dyDescent="0.3">
      <c r="A7" s="31" t="s">
        <v>196</v>
      </c>
      <c r="B7" s="32">
        <v>45</v>
      </c>
    </row>
    <row r="8" spans="1:2" x14ac:dyDescent="0.3">
      <c r="A8" s="31" t="s">
        <v>198</v>
      </c>
      <c r="B8" s="32">
        <v>23</v>
      </c>
    </row>
    <row r="9" spans="1:2" x14ac:dyDescent="0.3">
      <c r="A9" s="31" t="s">
        <v>199</v>
      </c>
      <c r="B9" s="32">
        <v>12</v>
      </c>
    </row>
    <row r="10" spans="1:2" x14ac:dyDescent="0.3">
      <c r="A10" s="31" t="s">
        <v>213</v>
      </c>
      <c r="B10" s="32">
        <v>187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82122-F2EA-4AA7-8872-02F83E4B2685}">
  <dimension ref="A3:B11"/>
  <sheetViews>
    <sheetView workbookViewId="0">
      <selection activeCell="T19" sqref="T19"/>
    </sheetView>
  </sheetViews>
  <sheetFormatPr defaultRowHeight="14.4" x14ac:dyDescent="0.3"/>
  <cols>
    <col min="1" max="1" width="12.44140625" bestFit="1" customWidth="1"/>
    <col min="2" max="2" width="17" bestFit="1" customWidth="1"/>
  </cols>
  <sheetData>
    <row r="3" spans="1:2" x14ac:dyDescent="0.3">
      <c r="A3" s="34" t="s">
        <v>212</v>
      </c>
      <c r="B3" s="34" t="s">
        <v>221</v>
      </c>
    </row>
    <row r="4" spans="1:2" x14ac:dyDescent="0.3">
      <c r="A4" s="35" t="s">
        <v>214</v>
      </c>
      <c r="B4" s="36">
        <v>22</v>
      </c>
    </row>
    <row r="5" spans="1:2" x14ac:dyDescent="0.3">
      <c r="A5" s="35" t="s">
        <v>215</v>
      </c>
      <c r="B5" s="36">
        <v>38</v>
      </c>
    </row>
    <row r="6" spans="1:2" x14ac:dyDescent="0.3">
      <c r="A6" s="35" t="s">
        <v>216</v>
      </c>
      <c r="B6" s="36">
        <v>117</v>
      </c>
    </row>
    <row r="7" spans="1:2" x14ac:dyDescent="0.3">
      <c r="A7" s="35" t="s">
        <v>217</v>
      </c>
      <c r="B7" s="36">
        <v>7</v>
      </c>
    </row>
    <row r="8" spans="1:2" x14ac:dyDescent="0.3">
      <c r="A8" s="35" t="s">
        <v>218</v>
      </c>
      <c r="B8" s="36">
        <v>1</v>
      </c>
    </row>
    <row r="9" spans="1:2" x14ac:dyDescent="0.3">
      <c r="A9" s="35" t="s">
        <v>219</v>
      </c>
      <c r="B9" s="36">
        <v>1</v>
      </c>
    </row>
    <row r="10" spans="1:2" x14ac:dyDescent="0.3">
      <c r="A10" s="35" t="s">
        <v>220</v>
      </c>
      <c r="B10" s="36">
        <v>1</v>
      </c>
    </row>
    <row r="11" spans="1:2" x14ac:dyDescent="0.3">
      <c r="A11" s="35" t="s">
        <v>213</v>
      </c>
      <c r="B11" s="36">
        <v>187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CDF3-A3E9-40C4-AF01-55DC1B7EA1D1}">
  <dimension ref="A3:C11"/>
  <sheetViews>
    <sheetView workbookViewId="0">
      <selection activeCell="P18" sqref="P18"/>
    </sheetView>
  </sheetViews>
  <sheetFormatPr defaultRowHeight="14.4" x14ac:dyDescent="0.3"/>
  <cols>
    <col min="1" max="1" width="12.44140625" bestFit="1" customWidth="1"/>
    <col min="2" max="2" width="17" bestFit="1" customWidth="1"/>
    <col min="3" max="3" width="20.109375" bestFit="1" customWidth="1"/>
  </cols>
  <sheetData>
    <row r="3" spans="1:3" x14ac:dyDescent="0.3">
      <c r="A3" s="34" t="s">
        <v>212</v>
      </c>
      <c r="B3" s="34" t="s">
        <v>221</v>
      </c>
      <c r="C3" s="37" t="s">
        <v>224</v>
      </c>
    </row>
    <row r="4" spans="1:3" x14ac:dyDescent="0.3">
      <c r="A4" s="35" t="s">
        <v>214</v>
      </c>
      <c r="B4" s="36">
        <v>22</v>
      </c>
      <c r="C4" s="37">
        <v>3.6919709750074491E-2</v>
      </c>
    </row>
    <row r="5" spans="1:3" x14ac:dyDescent="0.3">
      <c r="A5" s="35" t="s">
        <v>215</v>
      </c>
      <c r="B5" s="36">
        <v>38</v>
      </c>
      <c r="C5" s="37">
        <v>3.8613286373628972E-2</v>
      </c>
    </row>
    <row r="6" spans="1:3" x14ac:dyDescent="0.3">
      <c r="A6" s="35" t="s">
        <v>216</v>
      </c>
      <c r="B6" s="36">
        <v>117</v>
      </c>
      <c r="C6" s="37">
        <v>2.2864998234968716E-2</v>
      </c>
    </row>
    <row r="7" spans="1:3" x14ac:dyDescent="0.3">
      <c r="A7" s="35" t="s">
        <v>217</v>
      </c>
      <c r="B7" s="36">
        <v>7</v>
      </c>
      <c r="C7" s="37">
        <v>6.8122581999350035E-2</v>
      </c>
    </row>
    <row r="8" spans="1:3" x14ac:dyDescent="0.3">
      <c r="A8" s="35" t="s">
        <v>218</v>
      </c>
      <c r="B8" s="36">
        <v>1</v>
      </c>
      <c r="C8" s="37">
        <v>2.3762376237623763E-2</v>
      </c>
    </row>
    <row r="9" spans="1:3" x14ac:dyDescent="0.3">
      <c r="A9" s="35" t="s">
        <v>219</v>
      </c>
      <c r="B9" s="36">
        <v>1</v>
      </c>
      <c r="C9" s="37">
        <v>5.365106069161011E-2</v>
      </c>
    </row>
    <row r="10" spans="1:3" x14ac:dyDescent="0.3">
      <c r="A10" s="35" t="s">
        <v>220</v>
      </c>
      <c r="B10" s="36">
        <v>1</v>
      </c>
      <c r="C10" s="37">
        <v>0.13710790008713331</v>
      </c>
    </row>
    <row r="11" spans="1:3" x14ac:dyDescent="0.3">
      <c r="A11" s="35" t="s">
        <v>213</v>
      </c>
      <c r="B11" s="36">
        <v>187</v>
      </c>
      <c r="C11" s="36">
        <v>3.0193169525148111E-2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8BC39-3CB2-43AF-B9F1-6F2980F64BE8}">
  <dimension ref="B4:C4"/>
  <sheetViews>
    <sheetView workbookViewId="0">
      <selection activeCell="E7" sqref="E7"/>
    </sheetView>
  </sheetViews>
  <sheetFormatPr defaultRowHeight="14.4" x14ac:dyDescent="0.3"/>
  <sheetData>
    <row r="4" spans="2:3" x14ac:dyDescent="0.3">
      <c r="B4" s="34" t="s">
        <v>185</v>
      </c>
      <c r="C4" s="34">
        <f>VLOOKUP(B4,data!1:1048576,6,0)</f>
        <v>4800000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0142CE-206C-43B4-BAF2-ECFEC2E7A10B}">
          <x14:formula1>
            <xm:f>data!$A:$A</xm:f>
          </x14:formula1>
          <xm:sqref>B4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2842-CE2E-47C8-8DC3-99117A547B47}">
  <dimension ref="A1:GK188"/>
  <sheetViews>
    <sheetView topLeftCell="F1" zoomScaleNormal="100" workbookViewId="0">
      <selection activeCell="M28" sqref="M28"/>
    </sheetView>
  </sheetViews>
  <sheetFormatPr defaultRowHeight="14.4" x14ac:dyDescent="0.3"/>
  <cols>
    <col min="1" max="1" width="7" style="22" customWidth="1"/>
    <col min="2" max="2" width="18.109375" style="21" hidden="1" customWidth="1"/>
  </cols>
  <sheetData>
    <row r="1" spans="1:193" x14ac:dyDescent="0.3">
      <c r="A1" s="5" t="s">
        <v>0</v>
      </c>
      <c r="B1" s="5" t="s">
        <v>193</v>
      </c>
    </row>
    <row r="2" spans="1:193" x14ac:dyDescent="0.3">
      <c r="A2" s="6" t="s">
        <v>5</v>
      </c>
      <c r="B2" s="6" t="s">
        <v>195</v>
      </c>
    </row>
    <row r="3" spans="1:193" x14ac:dyDescent="0.3">
      <c r="A3" s="7" t="s">
        <v>6</v>
      </c>
      <c r="B3" s="7" t="s">
        <v>196</v>
      </c>
      <c r="F3" s="5" t="s">
        <v>0</v>
      </c>
      <c r="G3" s="6" t="s">
        <v>5</v>
      </c>
      <c r="H3" s="7" t="s">
        <v>6</v>
      </c>
      <c r="I3" s="6" t="s">
        <v>7</v>
      </c>
      <c r="J3" s="7" t="s">
        <v>8</v>
      </c>
      <c r="K3" s="6" t="s">
        <v>9</v>
      </c>
      <c r="L3" s="7" t="s">
        <v>10</v>
      </c>
      <c r="M3" s="6" t="s">
        <v>11</v>
      </c>
      <c r="N3" s="7" t="s">
        <v>12</v>
      </c>
      <c r="O3" s="6" t="s">
        <v>13</v>
      </c>
      <c r="P3" s="7" t="s">
        <v>14</v>
      </c>
      <c r="Q3" s="6" t="s">
        <v>15</v>
      </c>
      <c r="R3" s="7" t="s">
        <v>16</v>
      </c>
      <c r="S3" s="6" t="s">
        <v>17</v>
      </c>
      <c r="T3" s="7" t="s">
        <v>18</v>
      </c>
      <c r="U3" s="6" t="s">
        <v>19</v>
      </c>
      <c r="V3" s="7" t="s">
        <v>20</v>
      </c>
      <c r="W3" s="6" t="s">
        <v>21</v>
      </c>
      <c r="X3" s="7" t="s">
        <v>22</v>
      </c>
      <c r="Y3" s="6" t="s">
        <v>23</v>
      </c>
      <c r="Z3" s="7" t="s">
        <v>24</v>
      </c>
      <c r="AA3" s="6" t="s">
        <v>25</v>
      </c>
      <c r="AB3" s="7" t="s">
        <v>26</v>
      </c>
      <c r="AC3" s="6" t="s">
        <v>27</v>
      </c>
      <c r="AD3" s="7" t="s">
        <v>28</v>
      </c>
      <c r="AE3" s="6" t="s">
        <v>29</v>
      </c>
      <c r="AF3" s="7" t="s">
        <v>30</v>
      </c>
      <c r="AG3" s="6" t="s">
        <v>31</v>
      </c>
      <c r="AH3" s="7" t="s">
        <v>191</v>
      </c>
      <c r="AI3" s="6" t="s">
        <v>32</v>
      </c>
      <c r="AJ3" s="7" t="s">
        <v>33</v>
      </c>
      <c r="AK3" s="6" t="s">
        <v>34</v>
      </c>
      <c r="AL3" s="7" t="s">
        <v>35</v>
      </c>
      <c r="AM3" s="6" t="s">
        <v>36</v>
      </c>
      <c r="AN3" s="7" t="s">
        <v>37</v>
      </c>
      <c r="AO3" s="6" t="s">
        <v>38</v>
      </c>
      <c r="AP3" s="7" t="s">
        <v>39</v>
      </c>
      <c r="AQ3" s="6" t="s">
        <v>40</v>
      </c>
      <c r="AR3" s="7" t="s">
        <v>41</v>
      </c>
      <c r="AS3" s="6" t="s">
        <v>42</v>
      </c>
      <c r="AT3" s="7" t="s">
        <v>43</v>
      </c>
      <c r="AU3" s="6" t="s">
        <v>44</v>
      </c>
      <c r="AV3" s="7" t="s">
        <v>45</v>
      </c>
      <c r="AW3" s="6" t="s">
        <v>46</v>
      </c>
      <c r="AX3" s="7" t="s">
        <v>47</v>
      </c>
      <c r="AY3" s="6" t="s">
        <v>48</v>
      </c>
      <c r="AZ3" s="7" t="s">
        <v>49</v>
      </c>
      <c r="BA3" s="6" t="s">
        <v>50</v>
      </c>
      <c r="BB3" s="7" t="s">
        <v>51</v>
      </c>
      <c r="BC3" s="6" t="s">
        <v>52</v>
      </c>
      <c r="BD3" s="7" t="s">
        <v>53</v>
      </c>
      <c r="BE3" s="6" t="s">
        <v>54</v>
      </c>
      <c r="BF3" s="7" t="s">
        <v>55</v>
      </c>
      <c r="BG3" s="6" t="s">
        <v>56</v>
      </c>
      <c r="BH3" s="7" t="s">
        <v>57</v>
      </c>
      <c r="BI3" s="6" t="s">
        <v>58</v>
      </c>
      <c r="BJ3" s="7" t="s">
        <v>59</v>
      </c>
      <c r="BK3" s="6" t="s">
        <v>60</v>
      </c>
      <c r="BL3" s="7" t="s">
        <v>61</v>
      </c>
      <c r="BM3" s="6" t="s">
        <v>62</v>
      </c>
      <c r="BN3" s="7" t="s">
        <v>63</v>
      </c>
      <c r="BO3" s="6" t="s">
        <v>64</v>
      </c>
      <c r="BP3" s="7" t="s">
        <v>65</v>
      </c>
      <c r="BQ3" s="6" t="s">
        <v>66</v>
      </c>
      <c r="BR3" s="7" t="s">
        <v>67</v>
      </c>
      <c r="BS3" s="6" t="s">
        <v>68</v>
      </c>
      <c r="BT3" s="7" t="s">
        <v>69</v>
      </c>
      <c r="BU3" s="6" t="s">
        <v>70</v>
      </c>
      <c r="BV3" s="7" t="s">
        <v>71</v>
      </c>
      <c r="BW3" s="6" t="s">
        <v>72</v>
      </c>
      <c r="BX3" s="7" t="s">
        <v>73</v>
      </c>
      <c r="BY3" s="6" t="s">
        <v>74</v>
      </c>
      <c r="BZ3" s="7" t="s">
        <v>75</v>
      </c>
      <c r="CA3" s="6" t="s">
        <v>76</v>
      </c>
      <c r="CB3" s="7" t="s">
        <v>77</v>
      </c>
      <c r="CC3" s="6" t="s">
        <v>78</v>
      </c>
      <c r="CD3" s="7" t="s">
        <v>79</v>
      </c>
      <c r="CE3" s="6" t="s">
        <v>80</v>
      </c>
      <c r="CF3" s="7" t="s">
        <v>81</v>
      </c>
      <c r="CG3" s="6" t="s">
        <v>82</v>
      </c>
      <c r="CH3" s="7" t="s">
        <v>83</v>
      </c>
      <c r="CI3" s="6" t="s">
        <v>84</v>
      </c>
      <c r="CJ3" s="7" t="s">
        <v>85</v>
      </c>
      <c r="CK3" s="6" t="s">
        <v>86</v>
      </c>
      <c r="CL3" s="7" t="s">
        <v>87</v>
      </c>
      <c r="CM3" s="6" t="s">
        <v>88</v>
      </c>
      <c r="CN3" s="7" t="s">
        <v>89</v>
      </c>
      <c r="CO3" s="6" t="s">
        <v>90</v>
      </c>
      <c r="CP3" s="7" t="s">
        <v>91</v>
      </c>
      <c r="CQ3" s="6" t="s">
        <v>92</v>
      </c>
      <c r="CR3" s="7" t="s">
        <v>93</v>
      </c>
      <c r="CS3" s="6" t="s">
        <v>94</v>
      </c>
      <c r="CT3" s="7" t="s">
        <v>95</v>
      </c>
      <c r="CU3" s="6" t="s">
        <v>96</v>
      </c>
      <c r="CV3" s="7" t="s">
        <v>97</v>
      </c>
      <c r="CW3" s="6" t="s">
        <v>98</v>
      </c>
      <c r="CX3" s="7" t="s">
        <v>99</v>
      </c>
      <c r="CY3" s="6" t="s">
        <v>100</v>
      </c>
      <c r="CZ3" s="7" t="s">
        <v>101</v>
      </c>
      <c r="DA3" s="6" t="s">
        <v>102</v>
      </c>
      <c r="DB3" s="7" t="s">
        <v>103</v>
      </c>
      <c r="DC3" s="6" t="s">
        <v>104</v>
      </c>
      <c r="DD3" s="7" t="s">
        <v>105</v>
      </c>
      <c r="DE3" s="6" t="s">
        <v>106</v>
      </c>
      <c r="DF3" s="7" t="s">
        <v>107</v>
      </c>
      <c r="DG3" s="6" t="s">
        <v>108</v>
      </c>
      <c r="DH3" s="7" t="s">
        <v>109</v>
      </c>
      <c r="DI3" s="6" t="s">
        <v>110</v>
      </c>
      <c r="DJ3" s="7" t="s">
        <v>111</v>
      </c>
      <c r="DK3" s="6" t="s">
        <v>112</v>
      </c>
      <c r="DL3" s="7" t="s">
        <v>113</v>
      </c>
      <c r="DM3" s="6" t="s">
        <v>114</v>
      </c>
      <c r="DN3" s="7" t="s">
        <v>115</v>
      </c>
      <c r="DO3" s="6" t="s">
        <v>116</v>
      </c>
      <c r="DP3" s="7" t="s">
        <v>117</v>
      </c>
      <c r="DQ3" s="6" t="s">
        <v>118</v>
      </c>
      <c r="DR3" s="7" t="s">
        <v>119</v>
      </c>
      <c r="DS3" s="6" t="s">
        <v>120</v>
      </c>
      <c r="DT3" s="7" t="s">
        <v>121</v>
      </c>
      <c r="DU3" s="6" t="s">
        <v>122</v>
      </c>
      <c r="DV3" s="7" t="s">
        <v>123</v>
      </c>
      <c r="DW3" s="6" t="s">
        <v>124</v>
      </c>
      <c r="DX3" s="7" t="s">
        <v>125</v>
      </c>
      <c r="DY3" s="6" t="s">
        <v>126</v>
      </c>
      <c r="DZ3" s="7" t="s">
        <v>127</v>
      </c>
      <c r="EA3" s="6" t="s">
        <v>128</v>
      </c>
      <c r="EB3" s="7" t="s">
        <v>129</v>
      </c>
      <c r="EC3" s="6" t="s">
        <v>130</v>
      </c>
      <c r="ED3" s="7" t="s">
        <v>131</v>
      </c>
      <c r="EE3" s="6" t="s">
        <v>132</v>
      </c>
      <c r="EF3" s="7" t="s">
        <v>133</v>
      </c>
      <c r="EG3" s="6" t="s">
        <v>134</v>
      </c>
      <c r="EH3" s="7" t="s">
        <v>135</v>
      </c>
      <c r="EI3" s="6" t="s">
        <v>136</v>
      </c>
      <c r="EJ3" s="7" t="s">
        <v>137</v>
      </c>
      <c r="EK3" s="6" t="s">
        <v>138</v>
      </c>
      <c r="EL3" s="7" t="s">
        <v>139</v>
      </c>
      <c r="EM3" s="6" t="s">
        <v>140</v>
      </c>
      <c r="EN3" s="7" t="s">
        <v>141</v>
      </c>
      <c r="EO3" s="6" t="s">
        <v>142</v>
      </c>
      <c r="EP3" s="7" t="s">
        <v>143</v>
      </c>
      <c r="EQ3" s="6" t="s">
        <v>144</v>
      </c>
      <c r="ER3" s="7" t="s">
        <v>145</v>
      </c>
      <c r="ES3" s="6" t="s">
        <v>146</v>
      </c>
      <c r="ET3" s="7" t="s">
        <v>147</v>
      </c>
      <c r="EU3" s="6" t="s">
        <v>148</v>
      </c>
      <c r="EV3" s="7" t="s">
        <v>149</v>
      </c>
      <c r="EW3" s="6" t="s">
        <v>150</v>
      </c>
      <c r="EX3" s="7" t="s">
        <v>151</v>
      </c>
      <c r="EY3" s="6" t="s">
        <v>152</v>
      </c>
      <c r="EZ3" s="7" t="s">
        <v>153</v>
      </c>
      <c r="FA3" s="6" t="s">
        <v>154</v>
      </c>
      <c r="FB3" s="7" t="s">
        <v>155</v>
      </c>
      <c r="FC3" s="6" t="s">
        <v>156</v>
      </c>
      <c r="FD3" s="7" t="s">
        <v>157</v>
      </c>
      <c r="FE3" s="6" t="s">
        <v>158</v>
      </c>
      <c r="FF3" s="7" t="s">
        <v>159</v>
      </c>
      <c r="FG3" s="6" t="s">
        <v>160</v>
      </c>
      <c r="FH3" s="7" t="s">
        <v>161</v>
      </c>
      <c r="FI3" s="6" t="s">
        <v>162</v>
      </c>
      <c r="FJ3" s="7" t="s">
        <v>163</v>
      </c>
      <c r="FK3" s="6" t="s">
        <v>164</v>
      </c>
      <c r="FL3" s="7" t="s">
        <v>165</v>
      </c>
      <c r="FM3" s="6" t="s">
        <v>166</v>
      </c>
      <c r="FN3" s="7" t="s">
        <v>167</v>
      </c>
      <c r="FO3" s="6" t="s">
        <v>190</v>
      </c>
      <c r="FP3" s="7" t="s">
        <v>168</v>
      </c>
      <c r="FQ3" s="6" t="s">
        <v>169</v>
      </c>
      <c r="FR3" s="7" t="s">
        <v>170</v>
      </c>
      <c r="FS3" s="6" t="s">
        <v>171</v>
      </c>
      <c r="FT3" s="7" t="s">
        <v>172</v>
      </c>
      <c r="FU3" s="6" t="s">
        <v>173</v>
      </c>
      <c r="FV3" s="7" t="s">
        <v>174</v>
      </c>
      <c r="FW3" s="6" t="s">
        <v>175</v>
      </c>
      <c r="FX3" s="7" t="s">
        <v>176</v>
      </c>
      <c r="FY3" s="6" t="s">
        <v>177</v>
      </c>
      <c r="FZ3" s="7" t="s">
        <v>178</v>
      </c>
      <c r="GA3" s="6" t="s">
        <v>179</v>
      </c>
      <c r="GB3" s="7" t="s">
        <v>180</v>
      </c>
      <c r="GC3" s="6" t="s">
        <v>181</v>
      </c>
      <c r="GD3" s="7" t="s">
        <v>182</v>
      </c>
      <c r="GE3" s="6" t="s">
        <v>183</v>
      </c>
      <c r="GF3" s="7" t="s">
        <v>184</v>
      </c>
      <c r="GG3" s="6" t="s">
        <v>185</v>
      </c>
      <c r="GH3" s="7" t="s">
        <v>186</v>
      </c>
      <c r="GI3" s="6" t="s">
        <v>187</v>
      </c>
      <c r="GJ3" s="7" t="s">
        <v>188</v>
      </c>
      <c r="GK3" s="8" t="s">
        <v>189</v>
      </c>
    </row>
    <row r="4" spans="1:193" x14ac:dyDescent="0.3">
      <c r="A4" s="6" t="s">
        <v>7</v>
      </c>
      <c r="B4" s="6" t="s">
        <v>197</v>
      </c>
      <c r="F4" s="5" t="s">
        <v>193</v>
      </c>
      <c r="G4" s="6" t="s">
        <v>195</v>
      </c>
      <c r="H4" s="7" t="s">
        <v>196</v>
      </c>
      <c r="I4" s="6" t="s">
        <v>197</v>
      </c>
      <c r="J4" s="7" t="s">
        <v>196</v>
      </c>
      <c r="K4" s="6" t="s">
        <v>197</v>
      </c>
      <c r="L4" s="7" t="s">
        <v>198</v>
      </c>
      <c r="M4" s="6" t="s">
        <v>199</v>
      </c>
      <c r="N4" s="7" t="s">
        <v>195</v>
      </c>
      <c r="O4" s="6" t="s">
        <v>200</v>
      </c>
      <c r="P4" s="7" t="s">
        <v>196</v>
      </c>
      <c r="Q4" s="6" t="s">
        <v>195</v>
      </c>
      <c r="R4" s="7" t="s">
        <v>198</v>
      </c>
      <c r="S4" s="6" t="s">
        <v>195</v>
      </c>
      <c r="T4" s="7" t="s">
        <v>195</v>
      </c>
      <c r="U4" s="6" t="s">
        <v>198</v>
      </c>
      <c r="V4" s="7" t="s">
        <v>196</v>
      </c>
      <c r="W4" s="6" t="s">
        <v>196</v>
      </c>
      <c r="X4" s="7" t="s">
        <v>198</v>
      </c>
      <c r="Y4" s="6" t="s">
        <v>197</v>
      </c>
      <c r="Z4" s="7" t="s">
        <v>195</v>
      </c>
      <c r="AA4" s="6" t="s">
        <v>199</v>
      </c>
      <c r="AB4" s="7" t="s">
        <v>196</v>
      </c>
      <c r="AC4" s="6" t="s">
        <v>197</v>
      </c>
      <c r="AD4" s="7" t="s">
        <v>199</v>
      </c>
      <c r="AE4" s="6" t="s">
        <v>195</v>
      </c>
      <c r="AF4" s="7" t="s">
        <v>196</v>
      </c>
      <c r="AG4" s="6" t="s">
        <v>197</v>
      </c>
      <c r="AH4" s="7" t="s">
        <v>195</v>
      </c>
      <c r="AI4" s="6" t="s">
        <v>197</v>
      </c>
      <c r="AJ4" s="7" t="s">
        <v>197</v>
      </c>
      <c r="AK4" s="6" t="s">
        <v>195</v>
      </c>
      <c r="AL4" s="7" t="s">
        <v>197</v>
      </c>
      <c r="AM4" s="6" t="s">
        <v>198</v>
      </c>
      <c r="AN4" s="7" t="s">
        <v>197</v>
      </c>
      <c r="AO4" s="6" t="s">
        <v>197</v>
      </c>
      <c r="AP4" s="7" t="s">
        <v>199</v>
      </c>
      <c r="AQ4" s="6" t="s">
        <v>197</v>
      </c>
      <c r="AR4" s="7" t="s">
        <v>199</v>
      </c>
      <c r="AS4" s="6" t="s">
        <v>197</v>
      </c>
      <c r="AT4" s="7" t="s">
        <v>197</v>
      </c>
      <c r="AU4" s="6" t="s">
        <v>197</v>
      </c>
      <c r="AV4" s="7" t="s">
        <v>198</v>
      </c>
      <c r="AW4" s="6" t="s">
        <v>197</v>
      </c>
      <c r="AX4" s="7" t="s">
        <v>196</v>
      </c>
      <c r="AY4" s="6" t="s">
        <v>198</v>
      </c>
      <c r="AZ4" s="7" t="s">
        <v>195</v>
      </c>
      <c r="BA4" s="6" t="s">
        <v>196</v>
      </c>
      <c r="BB4" s="7" t="s">
        <v>196</v>
      </c>
      <c r="BC4" s="6" t="s">
        <v>197</v>
      </c>
      <c r="BD4" s="7" t="s">
        <v>198</v>
      </c>
      <c r="BE4" s="6" t="s">
        <v>198</v>
      </c>
      <c r="BF4" s="7" t="s">
        <v>199</v>
      </c>
      <c r="BG4" s="6" t="s">
        <v>197</v>
      </c>
      <c r="BH4" s="7" t="s">
        <v>198</v>
      </c>
      <c r="BI4" s="6" t="s">
        <v>197</v>
      </c>
      <c r="BJ4" s="7" t="s">
        <v>197</v>
      </c>
      <c r="BK4" s="6" t="s">
        <v>196</v>
      </c>
      <c r="BL4" s="7" t="s">
        <v>197</v>
      </c>
      <c r="BM4" s="6" t="s">
        <v>197</v>
      </c>
      <c r="BN4" s="7" t="s">
        <v>200</v>
      </c>
      <c r="BO4" s="6" t="s">
        <v>196</v>
      </c>
      <c r="BP4" s="7" t="s">
        <v>196</v>
      </c>
      <c r="BQ4" s="6" t="s">
        <v>197</v>
      </c>
      <c r="BR4" s="7" t="s">
        <v>197</v>
      </c>
      <c r="BS4" s="6" t="s">
        <v>195</v>
      </c>
      <c r="BT4" s="7" t="s">
        <v>196</v>
      </c>
      <c r="BU4" s="6" t="s">
        <v>197</v>
      </c>
      <c r="BV4" s="7" t="s">
        <v>196</v>
      </c>
      <c r="BW4" s="6" t="s">
        <v>198</v>
      </c>
      <c r="BX4" s="7" t="s">
        <v>198</v>
      </c>
      <c r="BY4" s="6" t="s">
        <v>198</v>
      </c>
      <c r="BZ4" s="7" t="s">
        <v>197</v>
      </c>
      <c r="CA4" s="6" t="s">
        <v>197</v>
      </c>
      <c r="CB4" s="7" t="s">
        <v>199</v>
      </c>
      <c r="CC4" s="6" t="s">
        <v>198</v>
      </c>
      <c r="CD4" s="7" t="s">
        <v>196</v>
      </c>
      <c r="CE4" s="6" t="s">
        <v>198</v>
      </c>
      <c r="CF4" s="7" t="s">
        <v>196</v>
      </c>
      <c r="CG4" s="6" t="s">
        <v>196</v>
      </c>
      <c r="CH4" s="7" t="s">
        <v>195</v>
      </c>
      <c r="CI4" s="6" t="s">
        <v>195</v>
      </c>
      <c r="CJ4" s="7" t="s">
        <v>195</v>
      </c>
      <c r="CK4" s="6" t="s">
        <v>195</v>
      </c>
      <c r="CL4" s="7" t="s">
        <v>196</v>
      </c>
      <c r="CM4" s="6" t="s">
        <v>195</v>
      </c>
      <c r="CN4" s="7" t="s">
        <v>196</v>
      </c>
      <c r="CO4" s="6" t="s">
        <v>198</v>
      </c>
      <c r="CP4" s="7" t="s">
        <v>195</v>
      </c>
      <c r="CQ4" s="6" t="s">
        <v>195</v>
      </c>
      <c r="CR4" s="7" t="s">
        <v>195</v>
      </c>
      <c r="CS4" s="6" t="s">
        <v>197</v>
      </c>
      <c r="CT4" s="7" t="s">
        <v>196</v>
      </c>
      <c r="CU4" s="6" t="s">
        <v>195</v>
      </c>
      <c r="CV4" s="7" t="s">
        <v>195</v>
      </c>
      <c r="CW4" s="6" t="s">
        <v>195</v>
      </c>
      <c r="CX4" s="7" t="s">
        <v>196</v>
      </c>
      <c r="CY4" s="6" t="s">
        <v>195</v>
      </c>
      <c r="CZ4" s="7" t="s">
        <v>197</v>
      </c>
      <c r="DA4" s="6" t="s">
        <v>197</v>
      </c>
      <c r="DB4" s="7" t="s">
        <v>197</v>
      </c>
      <c r="DC4" s="6" t="s">
        <v>196</v>
      </c>
      <c r="DD4" s="7" t="s">
        <v>196</v>
      </c>
      <c r="DE4" s="6" t="s">
        <v>196</v>
      </c>
      <c r="DF4" s="7" t="s">
        <v>197</v>
      </c>
      <c r="DG4" s="6" t="s">
        <v>197</v>
      </c>
      <c r="DH4" s="7" t="s">
        <v>195</v>
      </c>
      <c r="DI4" s="6" t="s">
        <v>195</v>
      </c>
      <c r="DJ4" s="7" t="s">
        <v>197</v>
      </c>
      <c r="DK4" s="6" t="s">
        <v>196</v>
      </c>
      <c r="DL4" s="7" t="s">
        <v>197</v>
      </c>
      <c r="DM4" s="6" t="s">
        <v>197</v>
      </c>
      <c r="DN4" s="7" t="s">
        <v>198</v>
      </c>
      <c r="DO4" s="6" t="s">
        <v>196</v>
      </c>
      <c r="DP4" s="7" t="s">
        <v>196</v>
      </c>
      <c r="DQ4" s="6" t="s">
        <v>195</v>
      </c>
      <c r="DR4" s="7" t="s">
        <v>196</v>
      </c>
      <c r="DS4" s="6" t="s">
        <v>197</v>
      </c>
      <c r="DT4" s="7" t="s">
        <v>197</v>
      </c>
      <c r="DU4" s="6" t="s">
        <v>197</v>
      </c>
      <c r="DV4" s="7" t="s">
        <v>195</v>
      </c>
      <c r="DW4" s="6" t="s">
        <v>196</v>
      </c>
      <c r="DX4" s="7" t="s">
        <v>200</v>
      </c>
      <c r="DY4" s="6" t="s">
        <v>198</v>
      </c>
      <c r="DZ4" s="7" t="s">
        <v>197</v>
      </c>
      <c r="EA4" s="6" t="s">
        <v>197</v>
      </c>
      <c r="EB4" s="7" t="s">
        <v>196</v>
      </c>
      <c r="EC4" s="6" t="s">
        <v>196</v>
      </c>
      <c r="ED4" s="7" t="s">
        <v>195</v>
      </c>
      <c r="EE4" s="6" t="s">
        <v>195</v>
      </c>
      <c r="EF4" s="7" t="s">
        <v>195</v>
      </c>
      <c r="EG4" s="6" t="s">
        <v>200</v>
      </c>
      <c r="EH4" s="7" t="s">
        <v>199</v>
      </c>
      <c r="EI4" s="6" t="s">
        <v>199</v>
      </c>
      <c r="EJ4" s="7" t="s">
        <v>195</v>
      </c>
      <c r="EK4" s="6" t="s">
        <v>196</v>
      </c>
      <c r="EL4" s="7" t="s">
        <v>196</v>
      </c>
      <c r="EM4" s="6" t="s">
        <v>195</v>
      </c>
      <c r="EN4" s="7" t="s">
        <v>196</v>
      </c>
      <c r="EO4" s="6" t="s">
        <v>196</v>
      </c>
      <c r="EP4" s="7" t="s">
        <v>197</v>
      </c>
      <c r="EQ4" s="6" t="s">
        <v>198</v>
      </c>
      <c r="ER4" s="7" t="s">
        <v>198</v>
      </c>
      <c r="ES4" s="6" t="s">
        <v>198</v>
      </c>
      <c r="ET4" s="7" t="s">
        <v>196</v>
      </c>
      <c r="EU4" s="6" t="s">
        <v>197</v>
      </c>
      <c r="EV4" s="7" t="s">
        <v>195</v>
      </c>
      <c r="EW4" s="6" t="s">
        <v>197</v>
      </c>
      <c r="EX4" s="7" t="s">
        <v>196</v>
      </c>
      <c r="EY4" s="6" t="s">
        <v>197</v>
      </c>
      <c r="EZ4" s="7" t="s">
        <v>197</v>
      </c>
      <c r="FA4" s="6" t="s">
        <v>195</v>
      </c>
      <c r="FB4" s="7" t="s">
        <v>196</v>
      </c>
      <c r="FC4" s="6" t="s">
        <v>196</v>
      </c>
      <c r="FD4" s="7" t="s">
        <v>197</v>
      </c>
      <c r="FE4" s="6" t="s">
        <v>197</v>
      </c>
      <c r="FF4" s="7" t="s">
        <v>195</v>
      </c>
      <c r="FG4" s="6" t="s">
        <v>197</v>
      </c>
      <c r="FH4" s="7" t="s">
        <v>196</v>
      </c>
      <c r="FI4" s="6" t="s">
        <v>195</v>
      </c>
      <c r="FJ4" s="7" t="s">
        <v>197</v>
      </c>
      <c r="FK4" s="6" t="s">
        <v>199</v>
      </c>
      <c r="FL4" s="7" t="s">
        <v>196</v>
      </c>
      <c r="FM4" s="6" t="s">
        <v>196</v>
      </c>
      <c r="FN4" s="7" t="s">
        <v>195</v>
      </c>
      <c r="FO4" s="6" t="s">
        <v>195</v>
      </c>
      <c r="FP4" s="7" t="s">
        <v>195</v>
      </c>
      <c r="FQ4" s="6" t="s">
        <v>197</v>
      </c>
      <c r="FR4" s="7" t="s">
        <v>195</v>
      </c>
      <c r="FS4" s="6" t="s">
        <v>195</v>
      </c>
      <c r="FT4" s="7" t="s">
        <v>197</v>
      </c>
      <c r="FU4" s="6" t="s">
        <v>198</v>
      </c>
      <c r="FV4" s="7" t="s">
        <v>197</v>
      </c>
      <c r="FW4" s="6" t="s">
        <v>195</v>
      </c>
      <c r="FX4" s="7" t="s">
        <v>198</v>
      </c>
      <c r="FY4" s="6" t="s">
        <v>197</v>
      </c>
      <c r="FZ4" s="7" t="s">
        <v>196</v>
      </c>
      <c r="GA4" s="6" t="s">
        <v>195</v>
      </c>
      <c r="GB4" s="7" t="s">
        <v>196</v>
      </c>
      <c r="GC4" s="6" t="s">
        <v>199</v>
      </c>
      <c r="GD4" s="7" t="s">
        <v>195</v>
      </c>
      <c r="GE4" s="6" t="s">
        <v>199</v>
      </c>
      <c r="GF4" s="7" t="s">
        <v>195</v>
      </c>
      <c r="GG4" s="6" t="s">
        <v>195</v>
      </c>
      <c r="GH4" s="7" t="s">
        <v>197</v>
      </c>
      <c r="GI4" s="6" t="s">
        <v>195</v>
      </c>
      <c r="GJ4" s="7" t="s">
        <v>197</v>
      </c>
      <c r="GK4" s="8" t="s">
        <v>197</v>
      </c>
    </row>
    <row r="5" spans="1:193" x14ac:dyDescent="0.3">
      <c r="A5" s="7" t="s">
        <v>8</v>
      </c>
      <c r="B5" s="7" t="s">
        <v>196</v>
      </c>
    </row>
    <row r="6" spans="1:193" x14ac:dyDescent="0.3">
      <c r="A6" s="6" t="s">
        <v>9</v>
      </c>
      <c r="B6" s="6" t="s">
        <v>197</v>
      </c>
    </row>
    <row r="7" spans="1:193" x14ac:dyDescent="0.3">
      <c r="A7" s="7" t="s">
        <v>10</v>
      </c>
      <c r="B7" s="7" t="s">
        <v>198</v>
      </c>
    </row>
    <row r="8" spans="1:193" x14ac:dyDescent="0.3">
      <c r="A8" s="6" t="s">
        <v>11</v>
      </c>
      <c r="B8" s="6" t="s">
        <v>199</v>
      </c>
    </row>
    <row r="9" spans="1:193" x14ac:dyDescent="0.3">
      <c r="A9" s="7" t="s">
        <v>12</v>
      </c>
      <c r="B9" s="7" t="s">
        <v>195</v>
      </c>
      <c r="F9" t="s">
        <v>142</v>
      </c>
      <c r="H9" t="str">
        <f>HLOOKUP(F9,F3:GK4,2,0)</f>
        <v>Europe</v>
      </c>
    </row>
    <row r="10" spans="1:193" x14ac:dyDescent="0.3">
      <c r="A10" s="6" t="s">
        <v>13</v>
      </c>
      <c r="B10" s="6" t="s">
        <v>200</v>
      </c>
    </row>
    <row r="11" spans="1:193" x14ac:dyDescent="0.3">
      <c r="A11" s="7" t="s">
        <v>14</v>
      </c>
      <c r="B11" s="7" t="s">
        <v>196</v>
      </c>
    </row>
    <row r="12" spans="1:193" x14ac:dyDescent="0.3">
      <c r="A12" s="6" t="s">
        <v>15</v>
      </c>
      <c r="B12" s="6" t="s">
        <v>195</v>
      </c>
    </row>
    <row r="13" spans="1:193" x14ac:dyDescent="0.3">
      <c r="A13" s="7" t="s">
        <v>16</v>
      </c>
      <c r="B13" s="7" t="s">
        <v>198</v>
      </c>
    </row>
    <row r="14" spans="1:193" x14ac:dyDescent="0.3">
      <c r="A14" s="6" t="s">
        <v>17</v>
      </c>
      <c r="B14" s="6" t="s">
        <v>195</v>
      </c>
    </row>
    <row r="15" spans="1:193" x14ac:dyDescent="0.3">
      <c r="A15" s="7" t="s">
        <v>18</v>
      </c>
      <c r="B15" s="7" t="s">
        <v>195</v>
      </c>
    </row>
    <row r="16" spans="1:193" x14ac:dyDescent="0.3">
      <c r="A16" s="6" t="s">
        <v>19</v>
      </c>
      <c r="B16" s="6" t="s">
        <v>198</v>
      </c>
    </row>
    <row r="17" spans="1:2" x14ac:dyDescent="0.3">
      <c r="A17" s="7" t="s">
        <v>20</v>
      </c>
      <c r="B17" s="7" t="s">
        <v>196</v>
      </c>
    </row>
    <row r="18" spans="1:2" x14ac:dyDescent="0.3">
      <c r="A18" s="6" t="s">
        <v>21</v>
      </c>
      <c r="B18" s="6" t="s">
        <v>196</v>
      </c>
    </row>
    <row r="19" spans="1:2" x14ac:dyDescent="0.3">
      <c r="A19" s="7" t="s">
        <v>22</v>
      </c>
      <c r="B19" s="7" t="s">
        <v>198</v>
      </c>
    </row>
    <row r="20" spans="1:2" x14ac:dyDescent="0.3">
      <c r="A20" s="6" t="s">
        <v>23</v>
      </c>
      <c r="B20" s="6" t="s">
        <v>197</v>
      </c>
    </row>
    <row r="21" spans="1:2" x14ac:dyDescent="0.3">
      <c r="A21" s="7" t="s">
        <v>24</v>
      </c>
      <c r="B21" s="7" t="s">
        <v>195</v>
      </c>
    </row>
    <row r="22" spans="1:2" x14ac:dyDescent="0.3">
      <c r="A22" s="6" t="s">
        <v>25</v>
      </c>
      <c r="B22" s="6" t="s">
        <v>199</v>
      </c>
    </row>
    <row r="23" spans="1:2" x14ac:dyDescent="0.3">
      <c r="A23" s="7" t="s">
        <v>26</v>
      </c>
      <c r="B23" s="7" t="s">
        <v>196</v>
      </c>
    </row>
    <row r="24" spans="1:2" x14ac:dyDescent="0.3">
      <c r="A24" s="6" t="s">
        <v>27</v>
      </c>
      <c r="B24" s="6" t="s">
        <v>197</v>
      </c>
    </row>
    <row r="25" spans="1:2" x14ac:dyDescent="0.3">
      <c r="A25" s="7" t="s">
        <v>28</v>
      </c>
      <c r="B25" s="7" t="s">
        <v>199</v>
      </c>
    </row>
    <row r="26" spans="1:2" x14ac:dyDescent="0.3">
      <c r="A26" s="6" t="s">
        <v>29</v>
      </c>
      <c r="B26" s="6" t="s">
        <v>195</v>
      </c>
    </row>
    <row r="27" spans="1:2" x14ac:dyDescent="0.3">
      <c r="A27" s="7" t="s">
        <v>30</v>
      </c>
      <c r="B27" s="7" t="s">
        <v>196</v>
      </c>
    </row>
    <row r="28" spans="1:2" x14ac:dyDescent="0.3">
      <c r="A28" s="6" t="s">
        <v>31</v>
      </c>
      <c r="B28" s="6" t="s">
        <v>197</v>
      </c>
    </row>
    <row r="29" spans="1:2" x14ac:dyDescent="0.3">
      <c r="A29" s="7" t="s">
        <v>191</v>
      </c>
      <c r="B29" s="7" t="s">
        <v>195</v>
      </c>
    </row>
    <row r="30" spans="1:2" x14ac:dyDescent="0.3">
      <c r="A30" s="6" t="s">
        <v>32</v>
      </c>
      <c r="B30" s="6" t="s">
        <v>197</v>
      </c>
    </row>
    <row r="31" spans="1:2" x14ac:dyDescent="0.3">
      <c r="A31" s="7" t="s">
        <v>33</v>
      </c>
      <c r="B31" s="7" t="s">
        <v>197</v>
      </c>
    </row>
    <row r="32" spans="1:2" x14ac:dyDescent="0.3">
      <c r="A32" s="6" t="s">
        <v>34</v>
      </c>
      <c r="B32" s="6" t="s">
        <v>195</v>
      </c>
    </row>
    <row r="33" spans="1:2" x14ac:dyDescent="0.3">
      <c r="A33" s="7" t="s">
        <v>35</v>
      </c>
      <c r="B33" s="7" t="s">
        <v>197</v>
      </c>
    </row>
    <row r="34" spans="1:2" x14ac:dyDescent="0.3">
      <c r="A34" s="6" t="s">
        <v>36</v>
      </c>
      <c r="B34" s="6" t="s">
        <v>198</v>
      </c>
    </row>
    <row r="35" spans="1:2" x14ac:dyDescent="0.3">
      <c r="A35" s="7" t="s">
        <v>37</v>
      </c>
      <c r="B35" s="7" t="s">
        <v>197</v>
      </c>
    </row>
    <row r="36" spans="1:2" x14ac:dyDescent="0.3">
      <c r="A36" s="6" t="s">
        <v>38</v>
      </c>
      <c r="B36" s="6" t="s">
        <v>197</v>
      </c>
    </row>
    <row r="37" spans="1:2" x14ac:dyDescent="0.3">
      <c r="A37" s="7" t="s">
        <v>39</v>
      </c>
      <c r="B37" s="7" t="s">
        <v>199</v>
      </c>
    </row>
    <row r="38" spans="1:2" x14ac:dyDescent="0.3">
      <c r="A38" s="6" t="s">
        <v>40</v>
      </c>
      <c r="B38" s="6" t="s">
        <v>197</v>
      </c>
    </row>
    <row r="39" spans="1:2" x14ac:dyDescent="0.3">
      <c r="A39" s="7" t="s">
        <v>41</v>
      </c>
      <c r="B39" s="7" t="s">
        <v>199</v>
      </c>
    </row>
    <row r="40" spans="1:2" x14ac:dyDescent="0.3">
      <c r="A40" s="6" t="s">
        <v>42</v>
      </c>
      <c r="B40" s="6" t="s">
        <v>197</v>
      </c>
    </row>
    <row r="41" spans="1:2" x14ac:dyDescent="0.3">
      <c r="A41" s="7" t="s">
        <v>43</v>
      </c>
      <c r="B41" s="7" t="s">
        <v>197</v>
      </c>
    </row>
    <row r="42" spans="1:2" x14ac:dyDescent="0.3">
      <c r="A42" s="6" t="s">
        <v>44</v>
      </c>
      <c r="B42" s="6" t="s">
        <v>197</v>
      </c>
    </row>
    <row r="43" spans="1:2" x14ac:dyDescent="0.3">
      <c r="A43" s="7" t="s">
        <v>45</v>
      </c>
      <c r="B43" s="7" t="s">
        <v>198</v>
      </c>
    </row>
    <row r="44" spans="1:2" x14ac:dyDescent="0.3">
      <c r="A44" s="6" t="s">
        <v>46</v>
      </c>
      <c r="B44" s="6" t="s">
        <v>197</v>
      </c>
    </row>
    <row r="45" spans="1:2" x14ac:dyDescent="0.3">
      <c r="A45" s="7" t="s">
        <v>47</v>
      </c>
      <c r="B45" s="7" t="s">
        <v>196</v>
      </c>
    </row>
    <row r="46" spans="1:2" x14ac:dyDescent="0.3">
      <c r="A46" s="6" t="s">
        <v>48</v>
      </c>
      <c r="B46" s="6" t="s">
        <v>198</v>
      </c>
    </row>
    <row r="47" spans="1:2" x14ac:dyDescent="0.3">
      <c r="A47" s="7" t="s">
        <v>49</v>
      </c>
      <c r="B47" s="7" t="s">
        <v>195</v>
      </c>
    </row>
    <row r="48" spans="1:2" x14ac:dyDescent="0.3">
      <c r="A48" s="6" t="s">
        <v>50</v>
      </c>
      <c r="B48" s="6" t="s">
        <v>196</v>
      </c>
    </row>
    <row r="49" spans="1:2" x14ac:dyDescent="0.3">
      <c r="A49" s="7" t="s">
        <v>51</v>
      </c>
      <c r="B49" s="7" t="s">
        <v>196</v>
      </c>
    </row>
    <row r="50" spans="1:2" x14ac:dyDescent="0.3">
      <c r="A50" s="6" t="s">
        <v>52</v>
      </c>
      <c r="B50" s="6" t="s">
        <v>197</v>
      </c>
    </row>
    <row r="51" spans="1:2" x14ac:dyDescent="0.3">
      <c r="A51" s="7" t="s">
        <v>53</v>
      </c>
      <c r="B51" s="7" t="s">
        <v>198</v>
      </c>
    </row>
    <row r="52" spans="1:2" x14ac:dyDescent="0.3">
      <c r="A52" s="6" t="s">
        <v>54</v>
      </c>
      <c r="B52" s="6" t="s">
        <v>198</v>
      </c>
    </row>
    <row r="53" spans="1:2" x14ac:dyDescent="0.3">
      <c r="A53" s="7" t="s">
        <v>55</v>
      </c>
      <c r="B53" s="7" t="s">
        <v>199</v>
      </c>
    </row>
    <row r="54" spans="1:2" x14ac:dyDescent="0.3">
      <c r="A54" s="6" t="s">
        <v>56</v>
      </c>
      <c r="B54" s="6" t="s">
        <v>197</v>
      </c>
    </row>
    <row r="55" spans="1:2" x14ac:dyDescent="0.3">
      <c r="A55" s="7" t="s">
        <v>57</v>
      </c>
      <c r="B55" s="7" t="s">
        <v>198</v>
      </c>
    </row>
    <row r="56" spans="1:2" x14ac:dyDescent="0.3">
      <c r="A56" s="6" t="s">
        <v>58</v>
      </c>
      <c r="B56" s="6" t="s">
        <v>197</v>
      </c>
    </row>
    <row r="57" spans="1:2" x14ac:dyDescent="0.3">
      <c r="A57" s="7" t="s">
        <v>59</v>
      </c>
      <c r="B57" s="7" t="s">
        <v>197</v>
      </c>
    </row>
    <row r="58" spans="1:2" x14ac:dyDescent="0.3">
      <c r="A58" s="6" t="s">
        <v>60</v>
      </c>
      <c r="B58" s="6" t="s">
        <v>196</v>
      </c>
    </row>
    <row r="59" spans="1:2" x14ac:dyDescent="0.3">
      <c r="A59" s="7" t="s">
        <v>61</v>
      </c>
      <c r="B59" s="7" t="s">
        <v>197</v>
      </c>
    </row>
    <row r="60" spans="1:2" x14ac:dyDescent="0.3">
      <c r="A60" s="6" t="s">
        <v>62</v>
      </c>
      <c r="B60" s="6" t="s">
        <v>197</v>
      </c>
    </row>
    <row r="61" spans="1:2" x14ac:dyDescent="0.3">
      <c r="A61" s="7" t="s">
        <v>63</v>
      </c>
      <c r="B61" s="7" t="s">
        <v>200</v>
      </c>
    </row>
    <row r="62" spans="1:2" x14ac:dyDescent="0.3">
      <c r="A62" s="6" t="s">
        <v>64</v>
      </c>
      <c r="B62" s="6" t="s">
        <v>196</v>
      </c>
    </row>
    <row r="63" spans="1:2" x14ac:dyDescent="0.3">
      <c r="A63" s="7" t="s">
        <v>65</v>
      </c>
      <c r="B63" s="7" t="s">
        <v>196</v>
      </c>
    </row>
    <row r="64" spans="1:2" x14ac:dyDescent="0.3">
      <c r="A64" s="6" t="s">
        <v>66</v>
      </c>
      <c r="B64" s="6" t="s">
        <v>197</v>
      </c>
    </row>
    <row r="65" spans="1:2" x14ac:dyDescent="0.3">
      <c r="A65" s="7" t="s">
        <v>67</v>
      </c>
      <c r="B65" s="7" t="s">
        <v>197</v>
      </c>
    </row>
    <row r="66" spans="1:2" x14ac:dyDescent="0.3">
      <c r="A66" s="6" t="s">
        <v>68</v>
      </c>
      <c r="B66" s="6" t="s">
        <v>195</v>
      </c>
    </row>
    <row r="67" spans="1:2" x14ac:dyDescent="0.3">
      <c r="A67" s="7" t="s">
        <v>69</v>
      </c>
      <c r="B67" s="7" t="s">
        <v>196</v>
      </c>
    </row>
    <row r="68" spans="1:2" x14ac:dyDescent="0.3">
      <c r="A68" s="6" t="s">
        <v>70</v>
      </c>
      <c r="B68" s="6" t="s">
        <v>197</v>
      </c>
    </row>
    <row r="69" spans="1:2" x14ac:dyDescent="0.3">
      <c r="A69" s="7" t="s">
        <v>71</v>
      </c>
      <c r="B69" s="7" t="s">
        <v>196</v>
      </c>
    </row>
    <row r="70" spans="1:2" x14ac:dyDescent="0.3">
      <c r="A70" s="6" t="s">
        <v>72</v>
      </c>
      <c r="B70" s="6" t="s">
        <v>198</v>
      </c>
    </row>
    <row r="71" spans="1:2" x14ac:dyDescent="0.3">
      <c r="A71" s="7" t="s">
        <v>73</v>
      </c>
      <c r="B71" s="7" t="s">
        <v>198</v>
      </c>
    </row>
    <row r="72" spans="1:2" x14ac:dyDescent="0.3">
      <c r="A72" s="6" t="s">
        <v>74</v>
      </c>
      <c r="B72" s="6" t="s">
        <v>198</v>
      </c>
    </row>
    <row r="73" spans="1:2" x14ac:dyDescent="0.3">
      <c r="A73" s="7" t="s">
        <v>75</v>
      </c>
      <c r="B73" s="7" t="s">
        <v>197</v>
      </c>
    </row>
    <row r="74" spans="1:2" x14ac:dyDescent="0.3">
      <c r="A74" s="6" t="s">
        <v>76</v>
      </c>
      <c r="B74" s="6" t="s">
        <v>197</v>
      </c>
    </row>
    <row r="75" spans="1:2" x14ac:dyDescent="0.3">
      <c r="A75" s="7" t="s">
        <v>77</v>
      </c>
      <c r="B75" s="7" t="s">
        <v>199</v>
      </c>
    </row>
    <row r="76" spans="1:2" x14ac:dyDescent="0.3">
      <c r="A76" s="6" t="s">
        <v>78</v>
      </c>
      <c r="B76" s="6" t="s">
        <v>198</v>
      </c>
    </row>
    <row r="77" spans="1:2" x14ac:dyDescent="0.3">
      <c r="A77" s="7" t="s">
        <v>79</v>
      </c>
      <c r="B77" s="7" t="s">
        <v>196</v>
      </c>
    </row>
    <row r="78" spans="1:2" x14ac:dyDescent="0.3">
      <c r="A78" s="6" t="s">
        <v>80</v>
      </c>
      <c r="B78" s="6" t="s">
        <v>198</v>
      </c>
    </row>
    <row r="79" spans="1:2" x14ac:dyDescent="0.3">
      <c r="A79" s="7" t="s">
        <v>81</v>
      </c>
      <c r="B79" s="7" t="s">
        <v>196</v>
      </c>
    </row>
    <row r="80" spans="1:2" x14ac:dyDescent="0.3">
      <c r="A80" s="6" t="s">
        <v>82</v>
      </c>
      <c r="B80" s="6" t="s">
        <v>196</v>
      </c>
    </row>
    <row r="81" spans="1:2" x14ac:dyDescent="0.3">
      <c r="A81" s="7" t="s">
        <v>83</v>
      </c>
      <c r="B81" s="7" t="s">
        <v>195</v>
      </c>
    </row>
    <row r="82" spans="1:2" x14ac:dyDescent="0.3">
      <c r="A82" s="6" t="s">
        <v>84</v>
      </c>
      <c r="B82" s="6" t="s">
        <v>195</v>
      </c>
    </row>
    <row r="83" spans="1:2" x14ac:dyDescent="0.3">
      <c r="A83" s="7" t="s">
        <v>85</v>
      </c>
      <c r="B83" s="7" t="s">
        <v>195</v>
      </c>
    </row>
    <row r="84" spans="1:2" x14ac:dyDescent="0.3">
      <c r="A84" s="6" t="s">
        <v>86</v>
      </c>
      <c r="B84" s="6" t="s">
        <v>195</v>
      </c>
    </row>
    <row r="85" spans="1:2" x14ac:dyDescent="0.3">
      <c r="A85" s="7" t="s">
        <v>87</v>
      </c>
      <c r="B85" s="7" t="s">
        <v>196</v>
      </c>
    </row>
    <row r="86" spans="1:2" x14ac:dyDescent="0.3">
      <c r="A86" s="6" t="s">
        <v>88</v>
      </c>
      <c r="B86" s="6" t="s">
        <v>195</v>
      </c>
    </row>
    <row r="87" spans="1:2" x14ac:dyDescent="0.3">
      <c r="A87" s="7" t="s">
        <v>89</v>
      </c>
      <c r="B87" s="7" t="s">
        <v>196</v>
      </c>
    </row>
    <row r="88" spans="1:2" x14ac:dyDescent="0.3">
      <c r="A88" s="6" t="s">
        <v>90</v>
      </c>
      <c r="B88" s="6" t="s">
        <v>198</v>
      </c>
    </row>
    <row r="89" spans="1:2" x14ac:dyDescent="0.3">
      <c r="A89" s="7" t="s">
        <v>91</v>
      </c>
      <c r="B89" s="7" t="s">
        <v>195</v>
      </c>
    </row>
    <row r="90" spans="1:2" x14ac:dyDescent="0.3">
      <c r="A90" s="6" t="s">
        <v>92</v>
      </c>
      <c r="B90" s="6" t="s">
        <v>195</v>
      </c>
    </row>
    <row r="91" spans="1:2" x14ac:dyDescent="0.3">
      <c r="A91" s="7" t="s">
        <v>93</v>
      </c>
      <c r="B91" s="7" t="s">
        <v>195</v>
      </c>
    </row>
    <row r="92" spans="1:2" x14ac:dyDescent="0.3">
      <c r="A92" s="6" t="s">
        <v>94</v>
      </c>
      <c r="B92" s="6" t="s">
        <v>197</v>
      </c>
    </row>
    <row r="93" spans="1:2" x14ac:dyDescent="0.3">
      <c r="A93" s="7" t="s">
        <v>95</v>
      </c>
      <c r="B93" s="7" t="s">
        <v>196</v>
      </c>
    </row>
    <row r="94" spans="1:2" x14ac:dyDescent="0.3">
      <c r="A94" s="6" t="s">
        <v>96</v>
      </c>
      <c r="B94" s="6" t="s">
        <v>195</v>
      </c>
    </row>
    <row r="95" spans="1:2" x14ac:dyDescent="0.3">
      <c r="A95" s="7" t="s">
        <v>97</v>
      </c>
      <c r="B95" s="7" t="s">
        <v>195</v>
      </c>
    </row>
    <row r="96" spans="1:2" x14ac:dyDescent="0.3">
      <c r="A96" s="6" t="s">
        <v>98</v>
      </c>
      <c r="B96" s="6" t="s">
        <v>195</v>
      </c>
    </row>
    <row r="97" spans="1:2" x14ac:dyDescent="0.3">
      <c r="A97" s="7" t="s">
        <v>99</v>
      </c>
      <c r="B97" s="7" t="s">
        <v>196</v>
      </c>
    </row>
    <row r="98" spans="1:2" x14ac:dyDescent="0.3">
      <c r="A98" s="6" t="s">
        <v>100</v>
      </c>
      <c r="B98" s="6" t="s">
        <v>195</v>
      </c>
    </row>
    <row r="99" spans="1:2" x14ac:dyDescent="0.3">
      <c r="A99" s="7" t="s">
        <v>101</v>
      </c>
      <c r="B99" s="7" t="s">
        <v>197</v>
      </c>
    </row>
    <row r="100" spans="1:2" x14ac:dyDescent="0.3">
      <c r="A100" s="6" t="s">
        <v>102</v>
      </c>
      <c r="B100" s="6" t="s">
        <v>197</v>
      </c>
    </row>
    <row r="101" spans="1:2" x14ac:dyDescent="0.3">
      <c r="A101" s="7" t="s">
        <v>103</v>
      </c>
      <c r="B101" s="7" t="s">
        <v>197</v>
      </c>
    </row>
    <row r="102" spans="1:2" x14ac:dyDescent="0.3">
      <c r="A102" s="6" t="s">
        <v>104</v>
      </c>
      <c r="B102" s="6" t="s">
        <v>196</v>
      </c>
    </row>
    <row r="103" spans="1:2" x14ac:dyDescent="0.3">
      <c r="A103" s="7" t="s">
        <v>105</v>
      </c>
      <c r="B103" s="7" t="s">
        <v>196</v>
      </c>
    </row>
    <row r="104" spans="1:2" x14ac:dyDescent="0.3">
      <c r="A104" s="6" t="s">
        <v>106</v>
      </c>
      <c r="B104" s="6" t="s">
        <v>196</v>
      </c>
    </row>
    <row r="105" spans="1:2" x14ac:dyDescent="0.3">
      <c r="A105" s="7" t="s">
        <v>107</v>
      </c>
      <c r="B105" s="7" t="s">
        <v>197</v>
      </c>
    </row>
    <row r="106" spans="1:2" x14ac:dyDescent="0.3">
      <c r="A106" s="6" t="s">
        <v>108</v>
      </c>
      <c r="B106" s="6" t="s">
        <v>197</v>
      </c>
    </row>
    <row r="107" spans="1:2" x14ac:dyDescent="0.3">
      <c r="A107" s="7" t="s">
        <v>109</v>
      </c>
      <c r="B107" s="7" t="s">
        <v>195</v>
      </c>
    </row>
    <row r="108" spans="1:2" x14ac:dyDescent="0.3">
      <c r="A108" s="6" t="s">
        <v>110</v>
      </c>
      <c r="B108" s="6" t="s">
        <v>195</v>
      </c>
    </row>
    <row r="109" spans="1:2" x14ac:dyDescent="0.3">
      <c r="A109" s="7" t="s">
        <v>111</v>
      </c>
      <c r="B109" s="7" t="s">
        <v>197</v>
      </c>
    </row>
    <row r="110" spans="1:2" x14ac:dyDescent="0.3">
      <c r="A110" s="6" t="s">
        <v>112</v>
      </c>
      <c r="B110" s="6" t="s">
        <v>196</v>
      </c>
    </row>
    <row r="111" spans="1:2" x14ac:dyDescent="0.3">
      <c r="A111" s="7" t="s">
        <v>113</v>
      </c>
      <c r="B111" s="7" t="s">
        <v>197</v>
      </c>
    </row>
    <row r="112" spans="1:2" x14ac:dyDescent="0.3">
      <c r="A112" s="6" t="s">
        <v>114</v>
      </c>
      <c r="B112" s="6" t="s">
        <v>197</v>
      </c>
    </row>
    <row r="113" spans="1:2" x14ac:dyDescent="0.3">
      <c r="A113" s="7" t="s">
        <v>115</v>
      </c>
      <c r="B113" s="7" t="s">
        <v>198</v>
      </c>
    </row>
    <row r="114" spans="1:2" x14ac:dyDescent="0.3">
      <c r="A114" s="6" t="s">
        <v>116</v>
      </c>
      <c r="B114" s="6" t="s">
        <v>196</v>
      </c>
    </row>
    <row r="115" spans="1:2" x14ac:dyDescent="0.3">
      <c r="A115" s="7" t="s">
        <v>117</v>
      </c>
      <c r="B115" s="7" t="s">
        <v>196</v>
      </c>
    </row>
    <row r="116" spans="1:2" x14ac:dyDescent="0.3">
      <c r="A116" s="6" t="s">
        <v>118</v>
      </c>
      <c r="B116" s="6" t="s">
        <v>195</v>
      </c>
    </row>
    <row r="117" spans="1:2" x14ac:dyDescent="0.3">
      <c r="A117" s="7" t="s">
        <v>119</v>
      </c>
      <c r="B117" s="7" t="s">
        <v>196</v>
      </c>
    </row>
    <row r="118" spans="1:2" x14ac:dyDescent="0.3">
      <c r="A118" s="6" t="s">
        <v>120</v>
      </c>
      <c r="B118" s="6" t="s">
        <v>197</v>
      </c>
    </row>
    <row r="119" spans="1:2" x14ac:dyDescent="0.3">
      <c r="A119" s="7" t="s">
        <v>121</v>
      </c>
      <c r="B119" s="7" t="s">
        <v>197</v>
      </c>
    </row>
    <row r="120" spans="1:2" x14ac:dyDescent="0.3">
      <c r="A120" s="6" t="s">
        <v>122</v>
      </c>
      <c r="B120" s="6" t="s">
        <v>197</v>
      </c>
    </row>
    <row r="121" spans="1:2" x14ac:dyDescent="0.3">
      <c r="A121" s="7" t="s">
        <v>123</v>
      </c>
      <c r="B121" s="7" t="s">
        <v>195</v>
      </c>
    </row>
    <row r="122" spans="1:2" x14ac:dyDescent="0.3">
      <c r="A122" s="6" t="s">
        <v>124</v>
      </c>
      <c r="B122" s="6" t="s">
        <v>196</v>
      </c>
    </row>
    <row r="123" spans="1:2" x14ac:dyDescent="0.3">
      <c r="A123" s="7" t="s">
        <v>125</v>
      </c>
      <c r="B123" s="7" t="s">
        <v>200</v>
      </c>
    </row>
    <row r="124" spans="1:2" x14ac:dyDescent="0.3">
      <c r="A124" s="6" t="s">
        <v>126</v>
      </c>
      <c r="B124" s="6" t="s">
        <v>198</v>
      </c>
    </row>
    <row r="125" spans="1:2" x14ac:dyDescent="0.3">
      <c r="A125" s="7" t="s">
        <v>127</v>
      </c>
      <c r="B125" s="7" t="s">
        <v>197</v>
      </c>
    </row>
    <row r="126" spans="1:2" x14ac:dyDescent="0.3">
      <c r="A126" s="6" t="s">
        <v>128</v>
      </c>
      <c r="B126" s="6" t="s">
        <v>197</v>
      </c>
    </row>
    <row r="127" spans="1:2" x14ac:dyDescent="0.3">
      <c r="A127" s="7" t="s">
        <v>129</v>
      </c>
      <c r="B127" s="7" t="s">
        <v>196</v>
      </c>
    </row>
    <row r="128" spans="1:2" x14ac:dyDescent="0.3">
      <c r="A128" s="6" t="s">
        <v>130</v>
      </c>
      <c r="B128" s="6" t="s">
        <v>196</v>
      </c>
    </row>
    <row r="129" spans="1:2" x14ac:dyDescent="0.3">
      <c r="A129" s="7" t="s">
        <v>131</v>
      </c>
      <c r="B129" s="7" t="s">
        <v>195</v>
      </c>
    </row>
    <row r="130" spans="1:2" x14ac:dyDescent="0.3">
      <c r="A130" s="6" t="s">
        <v>132</v>
      </c>
      <c r="B130" s="6" t="s">
        <v>195</v>
      </c>
    </row>
    <row r="131" spans="1:2" x14ac:dyDescent="0.3">
      <c r="A131" s="7" t="s">
        <v>133</v>
      </c>
      <c r="B131" s="7" t="s">
        <v>195</v>
      </c>
    </row>
    <row r="132" spans="1:2" x14ac:dyDescent="0.3">
      <c r="A132" s="6" t="s">
        <v>134</v>
      </c>
      <c r="B132" s="6" t="s">
        <v>200</v>
      </c>
    </row>
    <row r="133" spans="1:2" x14ac:dyDescent="0.3">
      <c r="A133" s="7" t="s">
        <v>135</v>
      </c>
      <c r="B133" s="7" t="s">
        <v>199</v>
      </c>
    </row>
    <row r="134" spans="1:2" x14ac:dyDescent="0.3">
      <c r="A134" s="6" t="s">
        <v>136</v>
      </c>
      <c r="B134" s="6" t="s">
        <v>199</v>
      </c>
    </row>
    <row r="135" spans="1:2" x14ac:dyDescent="0.3">
      <c r="A135" s="7" t="s">
        <v>137</v>
      </c>
      <c r="B135" s="7" t="s">
        <v>195</v>
      </c>
    </row>
    <row r="136" spans="1:2" x14ac:dyDescent="0.3">
      <c r="A136" s="6" t="s">
        <v>138</v>
      </c>
      <c r="B136" s="6" t="s">
        <v>196</v>
      </c>
    </row>
    <row r="137" spans="1:2" x14ac:dyDescent="0.3">
      <c r="A137" s="7" t="s">
        <v>139</v>
      </c>
      <c r="B137" s="7" t="s">
        <v>196</v>
      </c>
    </row>
    <row r="138" spans="1:2" x14ac:dyDescent="0.3">
      <c r="A138" s="6" t="s">
        <v>140</v>
      </c>
      <c r="B138" s="6" t="s">
        <v>195</v>
      </c>
    </row>
    <row r="139" spans="1:2" x14ac:dyDescent="0.3">
      <c r="A139" s="7" t="s">
        <v>141</v>
      </c>
      <c r="B139" s="7" t="s">
        <v>196</v>
      </c>
    </row>
    <row r="140" spans="1:2" x14ac:dyDescent="0.3">
      <c r="A140" s="6" t="s">
        <v>142</v>
      </c>
      <c r="B140" s="6" t="s">
        <v>196</v>
      </c>
    </row>
    <row r="141" spans="1:2" x14ac:dyDescent="0.3">
      <c r="A141" s="7" t="s">
        <v>143</v>
      </c>
      <c r="B141" s="7" t="s">
        <v>197</v>
      </c>
    </row>
    <row r="142" spans="1:2" x14ac:dyDescent="0.3">
      <c r="A142" s="6" t="s">
        <v>144</v>
      </c>
      <c r="B142" s="6" t="s">
        <v>198</v>
      </c>
    </row>
    <row r="143" spans="1:2" x14ac:dyDescent="0.3">
      <c r="A143" s="7" t="s">
        <v>145</v>
      </c>
      <c r="B143" s="7" t="s">
        <v>198</v>
      </c>
    </row>
    <row r="144" spans="1:2" x14ac:dyDescent="0.3">
      <c r="A144" s="6" t="s">
        <v>146</v>
      </c>
      <c r="B144" s="6" t="s">
        <v>198</v>
      </c>
    </row>
    <row r="145" spans="1:2" x14ac:dyDescent="0.3">
      <c r="A145" s="7" t="s">
        <v>147</v>
      </c>
      <c r="B145" s="7" t="s">
        <v>196</v>
      </c>
    </row>
    <row r="146" spans="1:2" x14ac:dyDescent="0.3">
      <c r="A146" s="6" t="s">
        <v>148</v>
      </c>
      <c r="B146" s="6" t="s">
        <v>197</v>
      </c>
    </row>
    <row r="147" spans="1:2" x14ac:dyDescent="0.3">
      <c r="A147" s="7" t="s">
        <v>149</v>
      </c>
      <c r="B147" s="7" t="s">
        <v>195</v>
      </c>
    </row>
    <row r="148" spans="1:2" x14ac:dyDescent="0.3">
      <c r="A148" s="6" t="s">
        <v>150</v>
      </c>
      <c r="B148" s="6" t="s">
        <v>197</v>
      </c>
    </row>
    <row r="149" spans="1:2" x14ac:dyDescent="0.3">
      <c r="A149" s="7" t="s">
        <v>151</v>
      </c>
      <c r="B149" s="7" t="s">
        <v>196</v>
      </c>
    </row>
    <row r="150" spans="1:2" x14ac:dyDescent="0.3">
      <c r="A150" s="6" t="s">
        <v>152</v>
      </c>
      <c r="B150" s="6" t="s">
        <v>197</v>
      </c>
    </row>
    <row r="151" spans="1:2" x14ac:dyDescent="0.3">
      <c r="A151" s="7" t="s">
        <v>153</v>
      </c>
      <c r="B151" s="7" t="s">
        <v>197</v>
      </c>
    </row>
    <row r="152" spans="1:2" x14ac:dyDescent="0.3">
      <c r="A152" s="6" t="s">
        <v>154</v>
      </c>
      <c r="B152" s="6" t="s">
        <v>195</v>
      </c>
    </row>
    <row r="153" spans="1:2" x14ac:dyDescent="0.3">
      <c r="A153" s="7" t="s">
        <v>155</v>
      </c>
      <c r="B153" s="7" t="s">
        <v>196</v>
      </c>
    </row>
    <row r="154" spans="1:2" x14ac:dyDescent="0.3">
      <c r="A154" s="6" t="s">
        <v>156</v>
      </c>
      <c r="B154" s="6" t="s">
        <v>196</v>
      </c>
    </row>
    <row r="155" spans="1:2" x14ac:dyDescent="0.3">
      <c r="A155" s="7" t="s">
        <v>157</v>
      </c>
      <c r="B155" s="7" t="s">
        <v>197</v>
      </c>
    </row>
    <row r="156" spans="1:2" x14ac:dyDescent="0.3">
      <c r="A156" s="6" t="s">
        <v>158</v>
      </c>
      <c r="B156" s="6" t="s">
        <v>197</v>
      </c>
    </row>
    <row r="157" spans="1:2" x14ac:dyDescent="0.3">
      <c r="A157" s="7" t="s">
        <v>159</v>
      </c>
      <c r="B157" s="7" t="s">
        <v>195</v>
      </c>
    </row>
    <row r="158" spans="1:2" x14ac:dyDescent="0.3">
      <c r="A158" s="6" t="s">
        <v>160</v>
      </c>
      <c r="B158" s="6" t="s">
        <v>197</v>
      </c>
    </row>
    <row r="159" spans="1:2" x14ac:dyDescent="0.3">
      <c r="A159" s="7" t="s">
        <v>161</v>
      </c>
      <c r="B159" s="7" t="s">
        <v>196</v>
      </c>
    </row>
    <row r="160" spans="1:2" x14ac:dyDescent="0.3">
      <c r="A160" s="6" t="s">
        <v>162</v>
      </c>
      <c r="B160" s="6" t="s">
        <v>195</v>
      </c>
    </row>
    <row r="161" spans="1:2" x14ac:dyDescent="0.3">
      <c r="A161" s="7" t="s">
        <v>163</v>
      </c>
      <c r="B161" s="7" t="s">
        <v>197</v>
      </c>
    </row>
    <row r="162" spans="1:2" x14ac:dyDescent="0.3">
      <c r="A162" s="6" t="s">
        <v>164</v>
      </c>
      <c r="B162" s="6" t="s">
        <v>199</v>
      </c>
    </row>
    <row r="163" spans="1:2" x14ac:dyDescent="0.3">
      <c r="A163" s="7" t="s">
        <v>165</v>
      </c>
      <c r="B163" s="7" t="s">
        <v>196</v>
      </c>
    </row>
    <row r="164" spans="1:2" x14ac:dyDescent="0.3">
      <c r="A164" s="6" t="s">
        <v>166</v>
      </c>
      <c r="B164" s="6" t="s">
        <v>196</v>
      </c>
    </row>
    <row r="165" spans="1:2" x14ac:dyDescent="0.3">
      <c r="A165" s="7" t="s">
        <v>167</v>
      </c>
      <c r="B165" s="7" t="s">
        <v>195</v>
      </c>
    </row>
    <row r="166" spans="1:2" x14ac:dyDescent="0.3">
      <c r="A166" s="6" t="s">
        <v>190</v>
      </c>
      <c r="B166" s="6" t="s">
        <v>195</v>
      </c>
    </row>
    <row r="167" spans="1:2" x14ac:dyDescent="0.3">
      <c r="A167" s="7" t="s">
        <v>168</v>
      </c>
      <c r="B167" s="7" t="s">
        <v>195</v>
      </c>
    </row>
    <row r="168" spans="1:2" x14ac:dyDescent="0.3">
      <c r="A168" s="6" t="s">
        <v>169</v>
      </c>
      <c r="B168" s="6" t="s">
        <v>197</v>
      </c>
    </row>
    <row r="169" spans="1:2" x14ac:dyDescent="0.3">
      <c r="A169" s="7" t="s">
        <v>170</v>
      </c>
      <c r="B169" s="7" t="s">
        <v>195</v>
      </c>
    </row>
    <row r="170" spans="1:2" x14ac:dyDescent="0.3">
      <c r="A170" s="6" t="s">
        <v>171</v>
      </c>
      <c r="B170" s="6" t="s">
        <v>195</v>
      </c>
    </row>
    <row r="171" spans="1:2" x14ac:dyDescent="0.3">
      <c r="A171" s="7" t="s">
        <v>172</v>
      </c>
      <c r="B171" s="7" t="s">
        <v>197</v>
      </c>
    </row>
    <row r="172" spans="1:2" x14ac:dyDescent="0.3">
      <c r="A172" s="6" t="s">
        <v>173</v>
      </c>
      <c r="B172" s="6" t="s">
        <v>198</v>
      </c>
    </row>
    <row r="173" spans="1:2" x14ac:dyDescent="0.3">
      <c r="A173" s="7" t="s">
        <v>174</v>
      </c>
      <c r="B173" s="7" t="s">
        <v>197</v>
      </c>
    </row>
    <row r="174" spans="1:2" x14ac:dyDescent="0.3">
      <c r="A174" s="6" t="s">
        <v>175</v>
      </c>
      <c r="B174" s="6" t="s">
        <v>195</v>
      </c>
    </row>
    <row r="175" spans="1:2" x14ac:dyDescent="0.3">
      <c r="A175" s="7" t="s">
        <v>176</v>
      </c>
      <c r="B175" s="7" t="s">
        <v>198</v>
      </c>
    </row>
    <row r="176" spans="1:2" x14ac:dyDescent="0.3">
      <c r="A176" s="6" t="s">
        <v>177</v>
      </c>
      <c r="B176" s="6" t="s">
        <v>197</v>
      </c>
    </row>
    <row r="177" spans="1:2" x14ac:dyDescent="0.3">
      <c r="A177" s="7" t="s">
        <v>178</v>
      </c>
      <c r="B177" s="7" t="s">
        <v>196</v>
      </c>
    </row>
    <row r="178" spans="1:2" x14ac:dyDescent="0.3">
      <c r="A178" s="6" t="s">
        <v>179</v>
      </c>
      <c r="B178" s="6" t="s">
        <v>195</v>
      </c>
    </row>
    <row r="179" spans="1:2" x14ac:dyDescent="0.3">
      <c r="A179" s="7" t="s">
        <v>180</v>
      </c>
      <c r="B179" s="7" t="s">
        <v>196</v>
      </c>
    </row>
    <row r="180" spans="1:2" x14ac:dyDescent="0.3">
      <c r="A180" s="6" t="s">
        <v>181</v>
      </c>
      <c r="B180" s="6" t="s">
        <v>199</v>
      </c>
    </row>
    <row r="181" spans="1:2" x14ac:dyDescent="0.3">
      <c r="A181" s="7" t="s">
        <v>182</v>
      </c>
      <c r="B181" s="7" t="s">
        <v>195</v>
      </c>
    </row>
    <row r="182" spans="1:2" x14ac:dyDescent="0.3">
      <c r="A182" s="6" t="s">
        <v>183</v>
      </c>
      <c r="B182" s="6" t="s">
        <v>199</v>
      </c>
    </row>
    <row r="183" spans="1:2" x14ac:dyDescent="0.3">
      <c r="A183" s="7" t="s">
        <v>184</v>
      </c>
      <c r="B183" s="7" t="s">
        <v>195</v>
      </c>
    </row>
    <row r="184" spans="1:2" x14ac:dyDescent="0.3">
      <c r="A184" s="6" t="s">
        <v>185</v>
      </c>
      <c r="B184" s="6" t="s">
        <v>195</v>
      </c>
    </row>
    <row r="185" spans="1:2" x14ac:dyDescent="0.3">
      <c r="A185" s="7" t="s">
        <v>186</v>
      </c>
      <c r="B185" s="7" t="s">
        <v>197</v>
      </c>
    </row>
    <row r="186" spans="1:2" x14ac:dyDescent="0.3">
      <c r="A186" s="6" t="s">
        <v>187</v>
      </c>
      <c r="B186" s="6" t="s">
        <v>195</v>
      </c>
    </row>
    <row r="187" spans="1:2" x14ac:dyDescent="0.3">
      <c r="A187" s="7" t="s">
        <v>188</v>
      </c>
      <c r="B187" s="7" t="s">
        <v>197</v>
      </c>
    </row>
    <row r="188" spans="1:2" x14ac:dyDescent="0.3">
      <c r="A188" s="8" t="s">
        <v>189</v>
      </c>
      <c r="B188" s="8" t="s">
        <v>197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C0003F-401F-4B14-925D-C69C495D6F67}">
          <x14:formula1>
            <xm:f>data!$A:$A</xm:f>
          </x14:formula1>
          <xm:sqref>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6B0C5-1789-4D0F-80F5-F9B58018D732}">
  <dimension ref="A3:B14"/>
  <sheetViews>
    <sheetView workbookViewId="0">
      <selection activeCell="M26" sqref="M26"/>
    </sheetView>
  </sheetViews>
  <sheetFormatPr defaultRowHeight="14.4" x14ac:dyDescent="0.3"/>
  <cols>
    <col min="1" max="1" width="12.44140625" bestFit="1" customWidth="1"/>
    <col min="2" max="2" width="15.88671875" bestFit="1" customWidth="1"/>
  </cols>
  <sheetData>
    <row r="3" spans="1:2" x14ac:dyDescent="0.3">
      <c r="A3" s="30" t="s">
        <v>212</v>
      </c>
      <c r="B3" s="30" t="s">
        <v>222</v>
      </c>
    </row>
    <row r="4" spans="1:2" x14ac:dyDescent="0.3">
      <c r="A4" s="31">
        <v>19132514</v>
      </c>
      <c r="B4" s="32">
        <v>347923</v>
      </c>
    </row>
    <row r="5" spans="1:2" x14ac:dyDescent="0.3">
      <c r="A5" s="31">
        <v>33016319</v>
      </c>
      <c r="B5" s="32">
        <v>389717</v>
      </c>
    </row>
    <row r="6" spans="1:2" x14ac:dyDescent="0.3">
      <c r="A6" s="31">
        <v>59381566</v>
      </c>
      <c r="B6" s="32">
        <v>452529</v>
      </c>
    </row>
    <row r="7" spans="1:2" x14ac:dyDescent="0.3">
      <c r="A7" s="31">
        <v>67922029</v>
      </c>
      <c r="B7" s="32">
        <v>301708</v>
      </c>
    </row>
    <row r="8" spans="1:2" x14ac:dyDescent="0.3">
      <c r="A8" s="31">
        <v>84097623</v>
      </c>
      <c r="B8" s="32">
        <v>293606</v>
      </c>
    </row>
    <row r="9" spans="1:2" x14ac:dyDescent="0.3">
      <c r="A9" s="31">
        <v>129066160</v>
      </c>
      <c r="B9" s="32">
        <v>395489</v>
      </c>
    </row>
    <row r="10" spans="1:2" x14ac:dyDescent="0.3">
      <c r="A10" s="31">
        <v>145940924</v>
      </c>
      <c r="B10" s="32">
        <v>816680</v>
      </c>
    </row>
    <row r="11" spans="1:2" x14ac:dyDescent="0.3">
      <c r="A11" s="31">
        <v>212710692</v>
      </c>
      <c r="B11" s="32">
        <v>2442375</v>
      </c>
    </row>
    <row r="12" spans="1:2" x14ac:dyDescent="0.3">
      <c r="A12" s="31">
        <v>331198130</v>
      </c>
      <c r="B12" s="32">
        <v>4290259</v>
      </c>
    </row>
    <row r="13" spans="1:2" x14ac:dyDescent="0.3">
      <c r="A13" s="31">
        <v>1381344997</v>
      </c>
      <c r="B13" s="32">
        <v>1480073</v>
      </c>
    </row>
    <row r="14" spans="1:2" x14ac:dyDescent="0.3">
      <c r="A14" s="28" t="s">
        <v>213</v>
      </c>
      <c r="B14" s="29">
        <v>11210359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1194C-D8A6-44CC-9CAA-A7E11D561C4D}">
  <dimension ref="A1:AL11"/>
  <sheetViews>
    <sheetView showGridLines="0" workbookViewId="0">
      <selection activeCell="P15" sqref="P15"/>
    </sheetView>
  </sheetViews>
  <sheetFormatPr defaultRowHeight="14.4" x14ac:dyDescent="0.3"/>
  <sheetData>
    <row r="1" spans="1:38" x14ac:dyDescent="0.3">
      <c r="A1" t="s">
        <v>226</v>
      </c>
      <c r="I1" t="s">
        <v>232</v>
      </c>
    </row>
    <row r="3" spans="1:38" x14ac:dyDescent="0.3">
      <c r="A3" t="s">
        <v>225</v>
      </c>
      <c r="I3" s="33"/>
      <c r="J3" s="7" t="s">
        <v>8</v>
      </c>
      <c r="K3" s="6" t="s">
        <v>19</v>
      </c>
      <c r="L3" s="6" t="s">
        <v>21</v>
      </c>
      <c r="M3" s="6" t="s">
        <v>36</v>
      </c>
      <c r="N3" s="6" t="s">
        <v>38</v>
      </c>
      <c r="O3" s="6" t="s">
        <v>40</v>
      </c>
      <c r="P3" s="7" t="s">
        <v>55</v>
      </c>
      <c r="Q3" s="6" t="s">
        <v>56</v>
      </c>
      <c r="R3" s="7" t="s">
        <v>65</v>
      </c>
      <c r="S3" s="7" t="s">
        <v>77</v>
      </c>
      <c r="T3" s="7" t="s">
        <v>81</v>
      </c>
      <c r="U3" s="7" t="s">
        <v>85</v>
      </c>
      <c r="V3" s="7" t="s">
        <v>87</v>
      </c>
      <c r="W3" s="7" t="s">
        <v>89</v>
      </c>
      <c r="X3" s="6" t="s">
        <v>102</v>
      </c>
      <c r="Y3" s="7" t="s">
        <v>115</v>
      </c>
      <c r="Z3" s="6" t="s">
        <v>124</v>
      </c>
      <c r="AA3" s="7" t="s">
        <v>127</v>
      </c>
      <c r="AB3" s="7" t="s">
        <v>147</v>
      </c>
      <c r="AC3" s="6" t="s">
        <v>156</v>
      </c>
      <c r="AD3" s="7" t="s">
        <v>161</v>
      </c>
      <c r="AE3" s="7" t="s">
        <v>163</v>
      </c>
      <c r="AF3" s="7" t="s">
        <v>165</v>
      </c>
      <c r="AG3" s="6" t="s">
        <v>166</v>
      </c>
      <c r="AH3" s="7" t="s">
        <v>167</v>
      </c>
      <c r="AI3" s="6" t="s">
        <v>173</v>
      </c>
      <c r="AJ3" s="7" t="s">
        <v>180</v>
      </c>
      <c r="AK3" s="7" t="s">
        <v>186</v>
      </c>
      <c r="AL3" s="6" t="s">
        <v>187</v>
      </c>
    </row>
    <row r="5" spans="1:38" x14ac:dyDescent="0.3">
      <c r="A5" t="s">
        <v>227</v>
      </c>
      <c r="I5" t="s">
        <v>231</v>
      </c>
    </row>
    <row r="8" spans="1:38" x14ac:dyDescent="0.3">
      <c r="A8" t="s">
        <v>228</v>
      </c>
      <c r="G8" t="s">
        <v>230</v>
      </c>
      <c r="I8" t="s">
        <v>176</v>
      </c>
    </row>
    <row r="11" spans="1:38" x14ac:dyDescent="0.3">
      <c r="A11" t="s">
        <v>229</v>
      </c>
      <c r="I11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Sheet1</vt:lpstr>
      <vt:lpstr>Sheet3</vt:lpstr>
      <vt:lpstr>Sheet2</vt:lpstr>
      <vt:lpstr>Sheet4</vt:lpstr>
      <vt:lpstr>Sheet6</vt:lpstr>
      <vt:lpstr>Sheet7</vt:lpstr>
      <vt:lpstr>Sheet9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Mrinal Das</dc:creator>
  <cp:lastModifiedBy>NIRAJ DAS</cp:lastModifiedBy>
  <dcterms:created xsi:type="dcterms:W3CDTF">2025-07-17T13:38:16Z</dcterms:created>
  <dcterms:modified xsi:type="dcterms:W3CDTF">2026-03-26T20:41:23Z</dcterms:modified>
</cp:coreProperties>
</file>